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yooniejoo/Downloads/"/>
    </mc:Choice>
  </mc:AlternateContent>
  <xr:revisionPtr revIDLastSave="0" documentId="13_ncr:1_{33778F49-3407-9842-8DBA-D0779F275AF0}" xr6:coauthVersionLast="47" xr6:coauthVersionMax="47" xr10:uidLastSave="{00000000-0000-0000-0000-000000000000}"/>
  <bookViews>
    <workbookView xWindow="16120" yWindow="1840" windowWidth="51200" windowHeight="19400" activeTab="2" xr2:uid="{00000000-000D-0000-FFFF-FFFF00000000}"/>
  </bookViews>
  <sheets>
    <sheet name="(2017.12.29)간접비계상기준" sheetId="1" r:id="rId1"/>
    <sheet name="간접비계산기-서울대" sheetId="2" r:id="rId2"/>
    <sheet name="예산" sheetId="8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8" l="1"/>
  <c r="H15" i="8"/>
  <c r="I15" i="8" s="1"/>
  <c r="H3" i="8"/>
  <c r="I3" i="8" s="1"/>
  <c r="H10" i="8"/>
  <c r="I10" i="8" s="1"/>
  <c r="H22" i="8"/>
  <c r="I22" i="8" s="1"/>
  <c r="H4" i="8"/>
  <c r="I4" i="8" s="1"/>
  <c r="G11" i="8"/>
  <c r="G19" i="8" s="1"/>
  <c r="H19" i="8" s="1"/>
  <c r="I19" i="8" s="1"/>
  <c r="H11" i="8"/>
  <c r="G23" i="8"/>
  <c r="H23" i="8" s="1"/>
  <c r="F11" i="8"/>
  <c r="F19" i="8" s="1"/>
  <c r="H8" i="2"/>
  <c r="D29" i="2"/>
  <c r="E13" i="2"/>
  <c r="H9" i="2" s="1"/>
  <c r="I11" i="8" l="1"/>
  <c r="I21" i="8" s="1"/>
  <c r="H21" i="8"/>
  <c r="G21" i="8"/>
  <c r="G24" i="8" s="1"/>
  <c r="E15" i="2"/>
  <c r="E17" i="2" s="1"/>
  <c r="H24" i="8" l="1"/>
  <c r="I24" i="8" s="1"/>
  <c r="F21" i="8"/>
  <c r="F24" i="8" s="1"/>
</calcChain>
</file>

<file path=xl/sharedStrings.xml><?xml version="1.0" encoding="utf-8"?>
<sst xmlns="http://schemas.openxmlformats.org/spreadsheetml/2006/main" count="112" uniqueCount="90">
  <si>
    <t>순번</t>
  </si>
  <si>
    <t>간접비
계상명</t>
  </si>
  <si>
    <t>간접비
계상구분</t>
  </si>
  <si>
    <t>계상비율</t>
  </si>
  <si>
    <t>1</t>
  </si>
  <si>
    <t>정부지원연구과제(단년도)2018</t>
  </si>
  <si>
    <t>고시율(정률)적용(단년도)</t>
  </si>
  <si>
    <t>2</t>
  </si>
  <si>
    <r>
      <rPr>
        <sz val="9"/>
        <color theme="1"/>
        <rFont val="Dotum"/>
        <family val="2"/>
        <charset val="129"/>
      </rPr>
      <t>정부지원연구과제(다년도)201</t>
    </r>
    <r>
      <rPr>
        <sz val="9"/>
        <color theme="1"/>
        <rFont val="Dotum"/>
        <family val="2"/>
        <charset val="129"/>
      </rPr>
      <t>8</t>
    </r>
  </si>
  <si>
    <t>고시율(정률)적용(다년도)</t>
  </si>
  <si>
    <t>3</t>
  </si>
  <si>
    <t>정부지원연구과제(단년도)2016</t>
  </si>
  <si>
    <t>4</t>
  </si>
  <si>
    <t>정부지원연구과제(다년도)2016</t>
  </si>
  <si>
    <t>5</t>
  </si>
  <si>
    <t>정부지원용역과제</t>
  </si>
  <si>
    <t>연구용역과제</t>
  </si>
  <si>
    <t>6</t>
  </si>
  <si>
    <t>민간지원과제</t>
  </si>
  <si>
    <t>민간과제</t>
  </si>
  <si>
    <t>7</t>
  </si>
  <si>
    <t>민간지원자문비</t>
  </si>
  <si>
    <t>민간지원자문비(문예창작예술분야)</t>
  </si>
  <si>
    <t>단기산업자문(1개월이내)</t>
  </si>
  <si>
    <t>◎ 공제될 간접비는 얼마일까?</t>
  </si>
  <si>
    <t>흰색 빈칸만 수정하여 사용하십시오.</t>
  </si>
  <si>
    <t>1. 총 연구비</t>
  </si>
  <si>
    <t>총 연구비는 얼마입니까?</t>
  </si>
  <si>
    <t>원</t>
  </si>
  <si>
    <t>2. 위탁연구비</t>
  </si>
  <si>
    <t>연구비 내에 위탁연구비가 있습니까?</t>
  </si>
  <si>
    <t>원 (없으면 0원 )</t>
  </si>
  <si>
    <t>3. 간접비 계상기준</t>
  </si>
  <si>
    <t>간접비 산정비율의 기준은?</t>
  </si>
  <si>
    <t>의</t>
  </si>
  <si>
    <t>%</t>
  </si>
  <si>
    <t>4. 결과값</t>
  </si>
  <si>
    <t>간접경비는</t>
  </si>
  <si>
    <t>원이며,</t>
  </si>
  <si>
    <t>인건비와 직접경비의 합은</t>
  </si>
  <si>
    <t>원입니다.</t>
  </si>
  <si>
    <t>간접경비는 (인건비+직접경비)의</t>
  </si>
  <si>
    <t>입니다.</t>
  </si>
  <si>
    <t>※ 간접비 계상기준의 법적 근거</t>
  </si>
  <si>
    <t xml:space="preserve"> ◇ 국가연구개발사업의 관리 등에 관한 규정 제10조 제4항
 ① 서울대학교 산학협력단 간접비 : 27.84% (2017.12.29.현재)</t>
  </si>
  <si>
    <t>※ 우리 대학의 지침</t>
  </si>
  <si>
    <r>
      <rPr>
        <sz val="11"/>
        <color rgb="FF000000"/>
        <rFont val="Calibri"/>
        <family val="2"/>
      </rPr>
      <t xml:space="preserve"> 국가연구개발사업은 과학기술정보통신부에서 고시된 비율에 따르며, 
 기업체(민간)지원 연구과제는 </t>
    </r>
    <r>
      <rPr>
        <b/>
        <sz val="11"/>
        <color rgb="FFFF0000"/>
        <rFont val="맑은 고딕"/>
        <family val="2"/>
        <charset val="129"/>
      </rPr>
      <t>"총 연구비(위탁연구비 제외)의 15%"</t>
    </r>
    <r>
      <rPr>
        <sz val="11"/>
        <color rgb="FF000000"/>
        <rFont val="Calibri"/>
        <family val="2"/>
      </rPr>
      <t>로</t>
    </r>
    <r>
      <rPr>
        <sz val="11"/>
        <color rgb="FF000000"/>
        <rFont val="맑은 고딕"/>
        <family val="2"/>
        <charset val="129"/>
      </rPr>
      <t xml:space="preserve"> 계상함 (부가가치세는 총 연구비에서 제외함)</t>
    </r>
  </si>
  <si>
    <t>비목</t>
  </si>
  <si>
    <t xml:space="preserve">세목 </t>
  </si>
  <si>
    <t>1차년도</t>
  </si>
  <si>
    <t>2차년도</t>
  </si>
  <si>
    <t>3차년도</t>
  </si>
  <si>
    <t>합계</t>
  </si>
  <si>
    <t>인</t>
  </si>
  <si>
    <t>내부인건비</t>
  </si>
  <si>
    <t>미지급</t>
  </si>
  <si>
    <t>직</t>
  </si>
  <si>
    <t>건</t>
  </si>
  <si>
    <t>지급</t>
  </si>
  <si>
    <t>현금</t>
  </si>
  <si>
    <t>접</t>
  </si>
  <si>
    <t>비</t>
  </si>
  <si>
    <t>(A)</t>
  </si>
  <si>
    <t>현물</t>
  </si>
  <si>
    <t>외부인건비</t>
  </si>
  <si>
    <t>(B)</t>
  </si>
  <si>
    <t>연구지원인력인건비(C)</t>
  </si>
  <si>
    <t>학생 인건비(D)</t>
  </si>
  <si>
    <t>인건비 소계(E=A+B+C+D)</t>
  </si>
  <si>
    <r>
      <rPr>
        <sz val="10"/>
        <color rgb="FF000000"/>
        <rFont val="Times New Roman"/>
        <family val="1"/>
      </rPr>
      <t>연구시설</t>
    </r>
    <r>
      <rPr>
        <sz val="10"/>
        <color rgb="FF000000"/>
        <rFont val="Calibri"/>
        <family val="2"/>
      </rPr>
      <t>‧</t>
    </r>
  </si>
  <si>
    <t>일반</t>
  </si>
  <si>
    <t>장비비(F)</t>
  </si>
  <si>
    <t>통합관리</t>
  </si>
  <si>
    <t>연구활동비</t>
  </si>
  <si>
    <t>(G)</t>
  </si>
  <si>
    <t>연구재료비</t>
  </si>
  <si>
    <t>(H)</t>
  </si>
  <si>
    <t>연구수당(I)</t>
  </si>
  <si>
    <t>위탁연구개발비(J)</t>
  </si>
  <si>
    <t>직접비 소계(K=E+F+G+H+I+J)</t>
  </si>
  <si>
    <t xml:space="preserve">간접비(L) </t>
  </si>
  <si>
    <t>(간접비 중 연구실 안전관리비)</t>
  </si>
  <si>
    <t>연구개발비 총액(M=K+L)</t>
  </si>
  <si>
    <r>
      <t>2024(6</t>
    </r>
    <r>
      <rPr>
        <b/>
        <sz val="10"/>
        <color rgb="FF0000FF"/>
        <rFont val="Malgun Gothic"/>
        <family val="2"/>
        <charset val="129"/>
      </rPr>
      <t>개월</t>
    </r>
    <r>
      <rPr>
        <b/>
        <sz val="10"/>
        <color rgb="FF0000FF"/>
        <rFont val="Calibri"/>
        <family val="2"/>
        <scheme val="minor"/>
      </rPr>
      <t>)</t>
    </r>
    <phoneticPr fontId="23" type="noConversion"/>
  </si>
  <si>
    <t>총액</t>
    <phoneticPr fontId="23" type="noConversion"/>
  </si>
  <si>
    <r>
      <t>4</t>
    </r>
    <r>
      <rPr>
        <b/>
        <sz val="10"/>
        <color rgb="FF000000"/>
        <rFont val="Batang"/>
        <family val="1"/>
        <charset val="129"/>
      </rPr>
      <t>차년도</t>
    </r>
    <phoneticPr fontId="23" type="noConversion"/>
  </si>
  <si>
    <r>
      <t>12</t>
    </r>
    <r>
      <rPr>
        <b/>
        <sz val="10"/>
        <color rgb="FF0000FF"/>
        <rFont val="Malgun Gothic"/>
        <family val="2"/>
        <charset val="129"/>
      </rPr>
      <t>개월</t>
    </r>
    <phoneticPr fontId="23" type="noConversion"/>
  </si>
  <si>
    <t>간접비</t>
    <phoneticPr fontId="23" type="noConversion"/>
  </si>
  <si>
    <r>
      <t>1.272</t>
    </r>
    <r>
      <rPr>
        <b/>
        <sz val="16"/>
        <color rgb="FFFF0000"/>
        <rFont val="Malgun Gothic"/>
        <family val="2"/>
        <charset val="129"/>
      </rPr>
      <t>억</t>
    </r>
    <phoneticPr fontId="23" type="noConversion"/>
  </si>
  <si>
    <r>
      <t>0.836</t>
    </r>
    <r>
      <rPr>
        <b/>
        <sz val="16"/>
        <color rgb="FFFF0000"/>
        <rFont val="Malgun Gothic"/>
        <family val="2"/>
        <charset val="129"/>
      </rPr>
      <t>억</t>
    </r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</si>
</sst>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#####################"/>
    <numFmt numFmtId="165" formatCode="_-* #,##0_-;\-* #,##0_-;_-* &quot;-&quot;_-;_-@"/>
    <numFmt numFmtId="166" formatCode="0.00_ "/>
    <numFmt numFmtId="167" formatCode="[$₩]#,##0"/>
    <numFmt numFmtId="168" formatCode="&quot;₩&quot;#,##0"/>
  </numFmts>
  <fonts count="28">
    <font>
      <sz val="11"/>
      <color rgb="FF000000"/>
      <name val="Calibri"/>
      <scheme val="minor"/>
    </font>
    <font>
      <b/>
      <sz val="9"/>
      <color theme="1"/>
      <name val="Dotum"/>
      <family val="2"/>
      <charset val="129"/>
    </font>
    <font>
      <sz val="9"/>
      <color theme="1"/>
      <name val="Dotum"/>
      <family val="2"/>
      <charset val="129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953734"/>
      <name val="Impact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FF"/>
      <name val="Calibri"/>
      <family val="2"/>
      <scheme val="minor"/>
    </font>
    <font>
      <sz val="10"/>
      <color rgb="FFC23E9A"/>
      <name val="Times New Roman"/>
      <family val="1"/>
    </font>
    <font>
      <b/>
      <sz val="16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맑은 고딕"/>
      <family val="2"/>
      <charset val="129"/>
    </font>
    <font>
      <sz val="11"/>
      <color rgb="FF000000"/>
      <name val="맑은 고딕"/>
      <family val="2"/>
      <charset val="129"/>
    </font>
    <font>
      <sz val="10"/>
      <color rgb="FF000000"/>
      <name val="Calibri"/>
      <family val="2"/>
    </font>
    <font>
      <b/>
      <sz val="10"/>
      <color rgb="FFFF0000"/>
      <name val="Times New Roman"/>
      <family val="1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8"/>
      <name val="Calibri"/>
      <family val="3"/>
      <charset val="129"/>
      <scheme val="minor"/>
    </font>
    <font>
      <b/>
      <sz val="10"/>
      <color rgb="FF0000FF"/>
      <name val="Malgun Gothic"/>
      <family val="2"/>
      <charset val="129"/>
    </font>
    <font>
      <b/>
      <sz val="16"/>
      <color rgb="FFFF0000"/>
      <name val="Malgun Gothic"/>
      <family val="2"/>
      <charset val="129"/>
    </font>
    <font>
      <b/>
      <sz val="10"/>
      <color rgb="FF000000"/>
      <name val="Batang"/>
      <family val="1"/>
      <charset val="129"/>
    </font>
    <font>
      <sz val="11"/>
      <color rgb="FF000000"/>
      <name val="Malgun Gothic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E5E5E5"/>
        <bgColor rgb="FFE5E5E5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E5E5E5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4" fillId="3" borderId="4" xfId="0" applyFont="1" applyFill="1" applyBorder="1" applyAlignment="1">
      <alignment horizontal="left" vertical="center"/>
    </xf>
    <xf numFmtId="165" fontId="0" fillId="0" borderId="5" xfId="0" applyNumberFormat="1" applyBorder="1" applyAlignment="1">
      <alignment vertical="center"/>
    </xf>
    <xf numFmtId="0" fontId="0" fillId="3" borderId="4" xfId="0" applyFill="1" applyBorder="1" applyAlignment="1">
      <alignment horizontal="left" vertical="center"/>
    </xf>
    <xf numFmtId="165" fontId="6" fillId="3" borderId="6" xfId="0" applyNumberFormat="1" applyFont="1" applyFill="1" applyBorder="1" applyAlignment="1">
      <alignment vertical="center"/>
    </xf>
    <xf numFmtId="0" fontId="0" fillId="3" borderId="4" xfId="0" applyFill="1" applyBorder="1" applyAlignment="1">
      <alignment vertical="center"/>
    </xf>
    <xf numFmtId="166" fontId="6" fillId="3" borderId="6" xfId="0" applyNumberFormat="1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8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0" fillId="4" borderId="21" xfId="0" applyFill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167" fontId="13" fillId="6" borderId="0" xfId="0" applyNumberFormat="1" applyFont="1" applyFill="1" applyAlignment="1">
      <alignment vertical="center"/>
    </xf>
    <xf numFmtId="43" fontId="0" fillId="0" borderId="0" xfId="0" applyNumberFormat="1" applyAlignment="1">
      <alignment vertical="center"/>
    </xf>
    <xf numFmtId="3" fontId="19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68" fontId="20" fillId="0" borderId="0" xfId="0" applyNumberFormat="1" applyFont="1" applyAlignment="1">
      <alignment vertical="center"/>
    </xf>
    <xf numFmtId="168" fontId="0" fillId="0" borderId="0" xfId="0" applyNumberFormat="1" applyAlignment="1">
      <alignment vertical="center"/>
    </xf>
    <xf numFmtId="0" fontId="21" fillId="0" borderId="0" xfId="0" applyFont="1" applyAlignment="1">
      <alignment vertical="center"/>
    </xf>
    <xf numFmtId="3" fontId="22" fillId="8" borderId="0" xfId="0" applyNumberFormat="1" applyFont="1" applyFill="1" applyAlignment="1">
      <alignment horizontal="right" vertical="center" wrapText="1"/>
    </xf>
    <xf numFmtId="49" fontId="1" fillId="2" borderId="24" xfId="0" applyNumberFormat="1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left" vertical="center"/>
    </xf>
    <xf numFmtId="0" fontId="0" fillId="3" borderId="24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3" borderId="24" xfId="0" applyFill="1" applyBorder="1" applyAlignment="1">
      <alignment horizontal="left" vertical="center"/>
    </xf>
    <xf numFmtId="165" fontId="0" fillId="3" borderId="24" xfId="0" applyNumberFormat="1" applyFill="1" applyBorder="1" applyAlignment="1">
      <alignment vertical="center"/>
    </xf>
    <xf numFmtId="165" fontId="3" fillId="0" borderId="5" xfId="0" applyNumberFormat="1" applyFont="1" applyBorder="1" applyAlignment="1">
      <alignment vertical="center"/>
    </xf>
    <xf numFmtId="165" fontId="3" fillId="3" borderId="24" xfId="0" applyNumberFormat="1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0" fillId="3" borderId="9" xfId="0" applyFill="1" applyBorder="1" applyAlignment="1">
      <alignment vertical="center"/>
    </xf>
    <xf numFmtId="165" fontId="6" fillId="3" borderId="24" xfId="0" applyNumberFormat="1" applyFont="1" applyFill="1" applyBorder="1" applyAlignment="1">
      <alignment vertical="center"/>
    </xf>
    <xf numFmtId="0" fontId="6" fillId="3" borderId="24" xfId="0" applyFont="1" applyFill="1" applyBorder="1" applyAlignment="1">
      <alignment vertical="center"/>
    </xf>
    <xf numFmtId="0" fontId="0" fillId="3" borderId="26" xfId="0" applyFill="1" applyBorder="1" applyAlignment="1">
      <alignment vertical="center"/>
    </xf>
    <xf numFmtId="0" fontId="0" fillId="3" borderId="23" xfId="0" applyFill="1" applyBorder="1" applyAlignment="1">
      <alignment vertical="center"/>
    </xf>
    <xf numFmtId="0" fontId="9" fillId="4" borderId="24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3" fontId="10" fillId="4" borderId="24" xfId="0" applyNumberFormat="1" applyFont="1" applyFill="1" applyBorder="1" applyAlignment="1">
      <alignment horizontal="right" vertical="center" wrapText="1"/>
    </xf>
    <xf numFmtId="0" fontId="0" fillId="4" borderId="20" xfId="0" applyFill="1" applyBorder="1" applyAlignment="1">
      <alignment vertical="center" wrapText="1"/>
    </xf>
    <xf numFmtId="0" fontId="0" fillId="4" borderId="15" xfId="0" applyFill="1" applyBorder="1" applyAlignment="1">
      <alignment vertical="center" wrapText="1"/>
    </xf>
    <xf numFmtId="0" fontId="0" fillId="4" borderId="23" xfId="0" applyFill="1" applyBorder="1" applyAlignment="1">
      <alignment vertical="center" wrapText="1"/>
    </xf>
    <xf numFmtId="3" fontId="18" fillId="7" borderId="24" xfId="0" applyNumberFormat="1" applyFont="1" applyFill="1" applyBorder="1" applyAlignment="1">
      <alignment horizontal="right" vertical="center" wrapText="1"/>
    </xf>
    <xf numFmtId="3" fontId="19" fillId="4" borderId="24" xfId="0" applyNumberFormat="1" applyFont="1" applyFill="1" applyBorder="1" applyAlignment="1">
      <alignment horizontal="right" vertical="center" wrapText="1"/>
    </xf>
    <xf numFmtId="3" fontId="19" fillId="5" borderId="24" xfId="0" applyNumberFormat="1" applyFont="1" applyFill="1" applyBorder="1" applyAlignment="1">
      <alignment horizontal="right" vertical="center" wrapText="1"/>
    </xf>
    <xf numFmtId="3" fontId="19" fillId="0" borderId="24" xfId="0" applyNumberFormat="1" applyFont="1" applyBorder="1" applyAlignment="1">
      <alignment horizontal="right" vertical="center" wrapText="1"/>
    </xf>
    <xf numFmtId="3" fontId="12" fillId="4" borderId="24" xfId="0" applyNumberFormat="1" applyFont="1" applyFill="1" applyBorder="1" applyAlignment="1">
      <alignment horizontal="right" vertical="center" wrapText="1"/>
    </xf>
    <xf numFmtId="3" fontId="22" fillId="7" borderId="24" xfId="0" applyNumberFormat="1" applyFont="1" applyFill="1" applyBorder="1" applyAlignment="1">
      <alignment horizontal="right" vertical="center" wrapText="1"/>
    </xf>
    <xf numFmtId="0" fontId="25" fillId="6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0" fontId="0" fillId="0" borderId="8" xfId="0" applyBorder="1" applyAlignment="1">
      <alignment horizontal="left" vertical="center" wrapText="1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0" fillId="4" borderId="11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10" fillId="4" borderId="16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9" fillId="4" borderId="2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vertical="center"/>
    </xf>
    <xf numFmtId="0" fontId="0" fillId="4" borderId="16" xfId="0" applyFill="1" applyBorder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selection activeCell="D3" sqref="D3"/>
    </sheetView>
  </sheetViews>
  <sheetFormatPr baseColWidth="10" defaultColWidth="14.5" defaultRowHeight="15" customHeight="1"/>
  <cols>
    <col min="1" max="1" width="5.1640625" customWidth="1"/>
    <col min="2" max="2" width="28" customWidth="1"/>
    <col min="3" max="3" width="25.1640625" customWidth="1"/>
    <col min="4" max="4" width="11.33203125" customWidth="1"/>
    <col min="5" max="26" width="8.83203125" customWidth="1"/>
  </cols>
  <sheetData>
    <row r="1" spans="1:4" ht="28">
      <c r="A1" s="35" t="s">
        <v>0</v>
      </c>
      <c r="B1" s="35" t="s">
        <v>1</v>
      </c>
      <c r="C1" s="35" t="s">
        <v>2</v>
      </c>
      <c r="D1" s="35" t="s">
        <v>3</v>
      </c>
    </row>
    <row r="2" spans="1:4">
      <c r="A2" s="1" t="s">
        <v>4</v>
      </c>
      <c r="B2" s="2" t="s">
        <v>5</v>
      </c>
      <c r="C2" s="2" t="s">
        <v>6</v>
      </c>
      <c r="D2" s="3">
        <v>24.69</v>
      </c>
    </row>
    <row r="3" spans="1:4">
      <c r="A3" s="1" t="s">
        <v>7</v>
      </c>
      <c r="B3" s="2" t="s">
        <v>8</v>
      </c>
      <c r="C3" s="2" t="s">
        <v>9</v>
      </c>
      <c r="D3" s="3">
        <v>24.69</v>
      </c>
    </row>
    <row r="4" spans="1:4">
      <c r="A4" s="1" t="s">
        <v>10</v>
      </c>
      <c r="B4" s="2" t="s">
        <v>11</v>
      </c>
      <c r="C4" s="2" t="s">
        <v>6</v>
      </c>
      <c r="D4" s="3">
        <v>29.5</v>
      </c>
    </row>
    <row r="5" spans="1:4">
      <c r="A5" s="1" t="s">
        <v>12</v>
      </c>
      <c r="B5" s="2" t="s">
        <v>13</v>
      </c>
      <c r="C5" s="2" t="s">
        <v>9</v>
      </c>
      <c r="D5" s="3">
        <v>29.5</v>
      </c>
    </row>
    <row r="6" spans="1:4">
      <c r="A6" s="1" t="s">
        <v>14</v>
      </c>
      <c r="B6" s="2" t="s">
        <v>15</v>
      </c>
      <c r="C6" s="2" t="s">
        <v>16</v>
      </c>
      <c r="D6" s="4">
        <v>6</v>
      </c>
    </row>
    <row r="7" spans="1:4">
      <c r="A7" s="1" t="s">
        <v>17</v>
      </c>
      <c r="B7" s="2" t="s">
        <v>18</v>
      </c>
      <c r="C7" s="2" t="s">
        <v>19</v>
      </c>
      <c r="D7" s="4">
        <v>15</v>
      </c>
    </row>
    <row r="8" spans="1:4">
      <c r="A8" s="1" t="s">
        <v>20</v>
      </c>
      <c r="B8" s="2" t="s">
        <v>21</v>
      </c>
      <c r="C8" s="2" t="s">
        <v>19</v>
      </c>
      <c r="D8" s="4">
        <v>15</v>
      </c>
    </row>
    <row r="9" spans="1:4">
      <c r="A9" s="1" t="s">
        <v>17</v>
      </c>
      <c r="B9" s="2" t="s">
        <v>22</v>
      </c>
      <c r="C9" s="2" t="s">
        <v>19</v>
      </c>
      <c r="D9" s="4">
        <v>1</v>
      </c>
    </row>
    <row r="10" spans="1:4">
      <c r="A10" s="1" t="s">
        <v>20</v>
      </c>
      <c r="B10" s="2" t="s">
        <v>23</v>
      </c>
      <c r="C10" s="2" t="s">
        <v>19</v>
      </c>
      <c r="D10" s="4">
        <v>6</v>
      </c>
    </row>
    <row r="18" spans="2:3">
      <c r="C18" s="5"/>
    </row>
    <row r="19" spans="2:3">
      <c r="B19" s="5"/>
    </row>
    <row r="21" spans="2:3" ht="15.75" customHeight="1"/>
    <row r="22" spans="2:3" ht="15.75" customHeight="1"/>
    <row r="23" spans="2:3" ht="15.75" customHeight="1"/>
    <row r="24" spans="2:3" ht="15.75" customHeight="1">
      <c r="B24" s="5"/>
      <c r="C24" s="5"/>
    </row>
    <row r="25" spans="2:3" ht="15.75" customHeight="1">
      <c r="C25" s="5"/>
    </row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spans="4:8" ht="15.75" customHeight="1"/>
    <row r="34" spans="4:8" ht="15.75" customHeight="1"/>
    <row r="35" spans="4:8" ht="15.75" customHeight="1"/>
    <row r="36" spans="4:8" ht="15.75" customHeight="1"/>
    <row r="37" spans="4:8" ht="15.75" customHeight="1"/>
    <row r="38" spans="4:8" ht="15.75" customHeight="1"/>
    <row r="39" spans="4:8" ht="15.75" customHeight="1"/>
    <row r="40" spans="4:8" ht="15.75" customHeight="1"/>
    <row r="41" spans="4:8" ht="15.75" customHeight="1"/>
    <row r="42" spans="4:8" ht="15.75" customHeight="1"/>
    <row r="43" spans="4:8" ht="15.75" customHeight="1"/>
    <row r="44" spans="4:8" ht="15.75" customHeight="1"/>
    <row r="45" spans="4:8" ht="15.75" customHeight="1"/>
    <row r="46" spans="4:8" ht="15.75" customHeight="1">
      <c r="D46" s="5"/>
      <c r="E46" s="5"/>
      <c r="F46" s="5"/>
      <c r="G46" s="5"/>
      <c r="H46" s="5"/>
    </row>
    <row r="47" spans="4:8" ht="15.75" customHeight="1">
      <c r="D47" s="5"/>
      <c r="E47" s="5"/>
      <c r="F47" s="5"/>
      <c r="G47" s="5"/>
      <c r="H47" s="5"/>
    </row>
    <row r="48" spans="4:8" ht="15.75" customHeight="1"/>
    <row r="49" spans="4:8" ht="15.75" customHeight="1">
      <c r="D49" s="5"/>
      <c r="E49" s="5"/>
      <c r="F49" s="5"/>
      <c r="G49" s="5"/>
      <c r="H49" s="5"/>
    </row>
    <row r="50" spans="4:8" ht="15.75" customHeight="1">
      <c r="D50" s="5"/>
      <c r="E50" s="5"/>
      <c r="F50" s="5"/>
      <c r="G50" s="5"/>
      <c r="H50" s="5"/>
    </row>
    <row r="51" spans="4:8" ht="15.75" customHeight="1">
      <c r="D51" s="5"/>
      <c r="E51" s="5"/>
      <c r="F51" s="5"/>
      <c r="G51" s="5"/>
      <c r="H51" s="5"/>
    </row>
    <row r="52" spans="4:8" ht="15.75" customHeight="1"/>
    <row r="53" spans="4:8" ht="15.75" customHeight="1"/>
    <row r="54" spans="4:8" ht="15.75" customHeight="1"/>
    <row r="55" spans="4:8" ht="15.75" customHeight="1"/>
    <row r="56" spans="4:8" ht="15.75" customHeight="1"/>
    <row r="57" spans="4:8" ht="15.75" customHeight="1"/>
    <row r="58" spans="4:8" ht="15.75" customHeight="1"/>
    <row r="59" spans="4:8" ht="15.75" customHeight="1"/>
    <row r="60" spans="4:8" ht="15.75" customHeight="1"/>
    <row r="61" spans="4:8" ht="15.75" customHeight="1"/>
    <row r="62" spans="4:8" ht="15.75" customHeight="1"/>
    <row r="63" spans="4:8" ht="15.75" customHeight="1"/>
    <row r="64" spans="4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2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zoomScale="179" workbookViewId="0">
      <selection activeCell="E6" sqref="E6"/>
    </sheetView>
  </sheetViews>
  <sheetFormatPr baseColWidth="10" defaultColWidth="14.5" defaultRowHeight="15" customHeight="1"/>
  <cols>
    <col min="1" max="1" width="5.1640625" customWidth="1"/>
    <col min="2" max="2" width="3.1640625" customWidth="1"/>
    <col min="3" max="3" width="21.1640625" customWidth="1"/>
    <col min="4" max="4" width="32.83203125" customWidth="1"/>
    <col min="5" max="5" width="23.6640625" customWidth="1"/>
    <col min="6" max="7" width="8.83203125" customWidth="1"/>
    <col min="8" max="8" width="14.6640625" bestFit="1" customWidth="1"/>
    <col min="9" max="26" width="8.83203125" customWidth="1"/>
  </cols>
  <sheetData>
    <row r="1" spans="2:12">
      <c r="G1" s="6"/>
    </row>
    <row r="2" spans="2:12">
      <c r="B2" s="7" t="s">
        <v>24</v>
      </c>
      <c r="C2" s="7"/>
    </row>
    <row r="3" spans="2:12">
      <c r="G3" s="8" t="s">
        <v>25</v>
      </c>
    </row>
    <row r="4" spans="2:12">
      <c r="B4" s="9"/>
      <c r="C4" s="10"/>
      <c r="D4" s="10"/>
      <c r="E4" s="10"/>
      <c r="F4" s="10"/>
      <c r="G4" s="11"/>
    </row>
    <row r="5" spans="2:12">
      <c r="B5" s="12"/>
      <c r="C5" s="36" t="s">
        <v>26</v>
      </c>
      <c r="D5" s="37" t="s">
        <v>27</v>
      </c>
      <c r="E5" s="13">
        <v>115500000</v>
      </c>
      <c r="F5" s="37" t="s">
        <v>28</v>
      </c>
      <c r="G5" s="38"/>
      <c r="H5" s="5">
        <v>2.5</v>
      </c>
      <c r="I5" s="5">
        <v>2.5</v>
      </c>
      <c r="J5" s="5">
        <v>3.3</v>
      </c>
      <c r="K5" s="5">
        <v>3.3</v>
      </c>
      <c r="L5" s="5">
        <v>3.3</v>
      </c>
    </row>
    <row r="6" spans="2:12">
      <c r="B6" s="14"/>
      <c r="C6" s="39"/>
      <c r="D6" s="37"/>
      <c r="E6" s="40"/>
      <c r="F6" s="37"/>
      <c r="G6" s="38"/>
    </row>
    <row r="7" spans="2:12">
      <c r="B7" s="12"/>
      <c r="C7" s="36" t="s">
        <v>29</v>
      </c>
      <c r="D7" s="37" t="s">
        <v>30</v>
      </c>
      <c r="E7" s="41">
        <v>0</v>
      </c>
      <c r="F7" s="37" t="s">
        <v>31</v>
      </c>
      <c r="G7" s="38"/>
    </row>
    <row r="8" spans="2:12">
      <c r="B8" s="14"/>
      <c r="C8" s="39"/>
      <c r="D8" s="37"/>
      <c r="E8" s="42"/>
      <c r="F8" s="37"/>
      <c r="G8" s="38"/>
      <c r="H8" s="27">
        <f>E5/3</f>
        <v>38500000</v>
      </c>
    </row>
    <row r="9" spans="2:12">
      <c r="B9" s="12"/>
      <c r="C9" s="36" t="s">
        <v>32</v>
      </c>
      <c r="D9" s="37" t="s">
        <v>33</v>
      </c>
      <c r="E9" s="43">
        <v>2</v>
      </c>
      <c r="F9" s="37" t="s">
        <v>34</v>
      </c>
      <c r="G9" s="38"/>
      <c r="H9" s="27">
        <f>E13/3</f>
        <v>7623333.333333333</v>
      </c>
    </row>
    <row r="10" spans="2:12">
      <c r="B10" s="12"/>
      <c r="C10" s="36"/>
      <c r="D10" s="37"/>
      <c r="E10" s="44"/>
      <c r="F10" s="37"/>
      <c r="G10" s="38"/>
    </row>
    <row r="11" spans="2:12">
      <c r="B11" s="14"/>
      <c r="C11" s="39"/>
      <c r="D11" s="37"/>
      <c r="E11" s="43">
        <v>24.69</v>
      </c>
      <c r="F11" s="37" t="s">
        <v>35</v>
      </c>
      <c r="G11" s="38"/>
    </row>
    <row r="12" spans="2:12">
      <c r="B12" s="14"/>
      <c r="C12" s="39"/>
      <c r="D12" s="37"/>
      <c r="E12" s="42"/>
      <c r="F12" s="37"/>
      <c r="G12" s="38"/>
    </row>
    <row r="13" spans="2:12" ht="16">
      <c r="B13" s="12"/>
      <c r="C13" s="36" t="s">
        <v>36</v>
      </c>
      <c r="D13" s="37" t="s">
        <v>37</v>
      </c>
      <c r="E13" s="15">
        <f>IF(E9=1,ROUNDDOWN((E5-E7)*E11*0.01,-3),ROUNDDOWN((E5-E7)*E11*0.01/(1+E11*0.01),-3))</f>
        <v>22870000</v>
      </c>
      <c r="F13" s="37" t="s">
        <v>38</v>
      </c>
      <c r="G13" s="38"/>
    </row>
    <row r="14" spans="2:12" ht="16">
      <c r="B14" s="16"/>
      <c r="C14" s="37"/>
      <c r="D14" s="37"/>
      <c r="E14" s="45"/>
      <c r="F14" s="37"/>
      <c r="G14" s="38"/>
    </row>
    <row r="15" spans="2:12" ht="16">
      <c r="B15" s="16"/>
      <c r="C15" s="37"/>
      <c r="D15" s="37" t="s">
        <v>39</v>
      </c>
      <c r="E15" s="15">
        <f>E5-E13</f>
        <v>92630000</v>
      </c>
      <c r="F15" s="37" t="s">
        <v>40</v>
      </c>
      <c r="G15" s="38"/>
    </row>
    <row r="16" spans="2:12" ht="16" hidden="1">
      <c r="B16" s="16"/>
      <c r="C16" s="37"/>
      <c r="D16" s="37"/>
      <c r="E16" s="46"/>
      <c r="F16" s="37"/>
      <c r="G16" s="38"/>
    </row>
    <row r="17" spans="2:7" ht="16" hidden="1">
      <c r="B17" s="16"/>
      <c r="C17" s="37"/>
      <c r="D17" s="37" t="s">
        <v>41</v>
      </c>
      <c r="E17" s="17">
        <f>E13/E15</f>
        <v>0.24689625391341899</v>
      </c>
      <c r="F17" s="37" t="s">
        <v>42</v>
      </c>
      <c r="G17" s="38"/>
    </row>
    <row r="18" spans="2:7">
      <c r="B18" s="18"/>
      <c r="C18" s="47"/>
      <c r="D18" s="47"/>
      <c r="E18" s="47"/>
      <c r="F18" s="47"/>
      <c r="G18" s="48"/>
    </row>
    <row r="19" spans="2:7">
      <c r="G19" s="6"/>
    </row>
    <row r="20" spans="2:7">
      <c r="B20" s="5" t="s">
        <v>43</v>
      </c>
    </row>
    <row r="21" spans="2:7" ht="46.5" customHeight="1">
      <c r="B21" s="64" t="s">
        <v>44</v>
      </c>
      <c r="C21" s="65"/>
      <c r="D21" s="65"/>
      <c r="E21" s="65"/>
      <c r="F21" s="65"/>
      <c r="G21" s="66"/>
    </row>
    <row r="22" spans="2:7" ht="15.75" customHeight="1"/>
    <row r="23" spans="2:7" ht="15.75" customHeight="1">
      <c r="C23" s="19"/>
    </row>
    <row r="24" spans="2:7" ht="15.75" customHeight="1">
      <c r="B24" s="5" t="s">
        <v>45</v>
      </c>
    </row>
    <row r="25" spans="2:7" ht="42.75" customHeight="1">
      <c r="B25" s="64" t="s">
        <v>46</v>
      </c>
      <c r="C25" s="65"/>
      <c r="D25" s="65"/>
      <c r="E25" s="65"/>
      <c r="F25" s="65"/>
      <c r="G25" s="66"/>
    </row>
    <row r="26" spans="2:7" ht="15.75" customHeight="1"/>
    <row r="27" spans="2:7" ht="15.75" customHeight="1"/>
    <row r="28" spans="2:7" ht="15.75" customHeight="1"/>
    <row r="29" spans="2:7" ht="15.75" customHeight="1">
      <c r="D29" s="5">
        <f>11626/9</f>
        <v>1291.7777777777778</v>
      </c>
    </row>
    <row r="30" spans="2:7" ht="15.75" customHeight="1"/>
    <row r="31" spans="2:7" ht="15.75" customHeight="1"/>
    <row r="32" spans="2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1:G21"/>
    <mergeCell ref="B25:G25"/>
  </mergeCells>
  <phoneticPr fontId="23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68CF-6228-6849-AB33-32CC0773807E}">
  <sheetPr>
    <outlinePr summaryBelow="0" summaryRight="0"/>
  </sheetPr>
  <dimension ref="A1:R1001"/>
  <sheetViews>
    <sheetView tabSelected="1" zoomScale="133" workbookViewId="0">
      <selection activeCell="G16" sqref="G16"/>
    </sheetView>
  </sheetViews>
  <sheetFormatPr baseColWidth="10" defaultColWidth="14.5" defaultRowHeight="15" customHeight="1"/>
  <cols>
    <col min="13" max="13" width="15.83203125" customWidth="1"/>
    <col min="14" max="14" width="37.5" customWidth="1"/>
    <col min="16" max="16" width="9.33203125" customWidth="1"/>
    <col min="17" max="17" width="6.5" customWidth="1"/>
    <col min="18" max="18" width="6.33203125" customWidth="1"/>
    <col min="19" max="19" width="6.5" customWidth="1"/>
  </cols>
  <sheetData>
    <row r="1" spans="1:15">
      <c r="A1" s="72" t="s">
        <v>47</v>
      </c>
      <c r="B1" s="73" t="s">
        <v>48</v>
      </c>
      <c r="C1" s="74"/>
      <c r="D1" s="74"/>
      <c r="E1" s="75"/>
      <c r="F1" s="49" t="s">
        <v>49</v>
      </c>
      <c r="G1" s="49" t="s">
        <v>50</v>
      </c>
      <c r="H1" s="49" t="s">
        <v>51</v>
      </c>
      <c r="I1" s="49" t="s">
        <v>85</v>
      </c>
      <c r="J1" s="49"/>
      <c r="K1" s="78" t="s">
        <v>52</v>
      </c>
      <c r="O1" s="20"/>
    </row>
    <row r="2" spans="1:15" ht="17" thickBot="1">
      <c r="A2" s="69"/>
      <c r="B2" s="76"/>
      <c r="C2" s="77"/>
      <c r="D2" s="77"/>
      <c r="E2" s="71"/>
      <c r="F2" s="22" t="s">
        <v>83</v>
      </c>
      <c r="G2" s="22" t="s">
        <v>86</v>
      </c>
      <c r="H2" s="22" t="s">
        <v>86</v>
      </c>
      <c r="I2" s="22" t="s">
        <v>86</v>
      </c>
      <c r="J2" s="22"/>
      <c r="K2" s="71"/>
      <c r="O2" s="20"/>
    </row>
    <row r="3" spans="1:15" ht="16" thickBot="1">
      <c r="A3" s="50"/>
      <c r="B3" s="51" t="s">
        <v>53</v>
      </c>
      <c r="C3" s="67" t="s">
        <v>54</v>
      </c>
      <c r="D3" s="79" t="s">
        <v>55</v>
      </c>
      <c r="E3" s="80"/>
      <c r="F3" s="28">
        <v>3840000</v>
      </c>
      <c r="G3" s="28">
        <v>7680000</v>
      </c>
      <c r="H3" s="28">
        <f>G3</f>
        <v>7680000</v>
      </c>
      <c r="I3" s="28">
        <f>H3</f>
        <v>7680000</v>
      </c>
      <c r="J3" s="28"/>
      <c r="K3" s="52"/>
      <c r="O3" s="20"/>
    </row>
    <row r="4" spans="1:15" ht="16" thickBot="1">
      <c r="A4" s="50" t="s">
        <v>56</v>
      </c>
      <c r="B4" s="51" t="s">
        <v>57</v>
      </c>
      <c r="C4" s="68"/>
      <c r="D4" s="23" t="s">
        <v>58</v>
      </c>
      <c r="E4" s="24" t="s">
        <v>59</v>
      </c>
      <c r="F4" s="28">
        <v>24000000</v>
      </c>
      <c r="G4" s="28">
        <v>48000000</v>
      </c>
      <c r="H4" s="28">
        <f>G4</f>
        <v>48000000</v>
      </c>
      <c r="I4" s="28">
        <f>H4</f>
        <v>48000000</v>
      </c>
      <c r="J4" s="28"/>
      <c r="K4" s="52"/>
      <c r="O4" s="20"/>
    </row>
    <row r="5" spans="1:15" ht="16" thickBot="1">
      <c r="A5" s="50" t="s">
        <v>60</v>
      </c>
      <c r="B5" s="51" t="s">
        <v>61</v>
      </c>
      <c r="C5" s="69"/>
      <c r="D5" s="25" t="s">
        <v>62</v>
      </c>
      <c r="E5" s="24" t="s">
        <v>63</v>
      </c>
      <c r="F5" s="28"/>
      <c r="G5" s="28"/>
      <c r="H5" s="28"/>
      <c r="I5" s="28"/>
      <c r="J5" s="28"/>
      <c r="K5" s="52"/>
      <c r="O5" s="20"/>
    </row>
    <row r="6" spans="1:15" ht="16" thickBot="1">
      <c r="A6" s="50" t="s">
        <v>61</v>
      </c>
      <c r="B6" s="53"/>
      <c r="C6" s="67" t="s">
        <v>64</v>
      </c>
      <c r="D6" s="70" t="s">
        <v>55</v>
      </c>
      <c r="E6" s="71"/>
      <c r="F6" s="28"/>
      <c r="G6" s="28"/>
      <c r="H6" s="28"/>
      <c r="I6" s="28"/>
      <c r="J6" s="28"/>
      <c r="K6" s="52"/>
      <c r="O6" s="20"/>
    </row>
    <row r="7" spans="1:15" ht="16" thickBot="1">
      <c r="A7" s="54"/>
      <c r="B7" s="53"/>
      <c r="C7" s="68"/>
      <c r="D7" s="51" t="s">
        <v>58</v>
      </c>
      <c r="E7" s="24" t="s">
        <v>59</v>
      </c>
      <c r="F7" s="28"/>
      <c r="G7" s="28"/>
      <c r="H7" s="28"/>
      <c r="I7" s="28"/>
      <c r="J7" s="28"/>
      <c r="K7" s="52"/>
    </row>
    <row r="8" spans="1:15" ht="16" thickBot="1">
      <c r="A8" s="54"/>
      <c r="B8" s="53"/>
      <c r="C8" s="69"/>
      <c r="D8" s="25" t="s">
        <v>65</v>
      </c>
      <c r="E8" s="24" t="s">
        <v>63</v>
      </c>
      <c r="F8" s="28"/>
      <c r="G8" s="28"/>
      <c r="H8" s="28"/>
      <c r="I8" s="28"/>
      <c r="J8" s="28"/>
      <c r="K8" s="52"/>
      <c r="O8" s="20"/>
    </row>
    <row r="9" spans="1:15" ht="16" thickBot="1">
      <c r="A9" s="54"/>
      <c r="B9" s="55"/>
      <c r="C9" s="70" t="s">
        <v>66</v>
      </c>
      <c r="D9" s="77"/>
      <c r="E9" s="71"/>
      <c r="F9" s="28"/>
      <c r="G9" s="28"/>
      <c r="H9" s="28"/>
      <c r="I9" s="28"/>
      <c r="J9" s="28"/>
      <c r="K9" s="52"/>
    </row>
    <row r="10" spans="1:15" ht="16" thickBot="1">
      <c r="A10" s="54"/>
      <c r="B10" s="79" t="s">
        <v>67</v>
      </c>
      <c r="C10" s="81"/>
      <c r="D10" s="81"/>
      <c r="E10" s="80"/>
      <c r="F10" s="28">
        <v>15000000</v>
      </c>
      <c r="G10" s="28">
        <v>30000000</v>
      </c>
      <c r="H10" s="28">
        <f>G10</f>
        <v>30000000</v>
      </c>
      <c r="I10" s="28">
        <f>H10</f>
        <v>30000000</v>
      </c>
      <c r="J10" s="28"/>
      <c r="K10" s="56"/>
    </row>
    <row r="11" spans="1:15" ht="16" thickBot="1">
      <c r="A11" s="54"/>
      <c r="B11" s="79" t="s">
        <v>68</v>
      </c>
      <c r="C11" s="81"/>
      <c r="D11" s="81"/>
      <c r="E11" s="80"/>
      <c r="F11" s="57">
        <f>SUM(F4:F5,F7:F8,F9:F10)</f>
        <v>39000000</v>
      </c>
      <c r="G11" s="57">
        <f t="shared" ref="G11:I11" si="0">SUM(G4:G5,G7:G8,G9:G10)</f>
        <v>78000000</v>
      </c>
      <c r="H11" s="57">
        <f t="shared" si="0"/>
        <v>78000000</v>
      </c>
      <c r="I11" s="57">
        <f t="shared" si="0"/>
        <v>78000000</v>
      </c>
      <c r="J11" s="28"/>
      <c r="K11" s="52"/>
      <c r="O11" s="20"/>
    </row>
    <row r="12" spans="1:15">
      <c r="A12" s="54"/>
      <c r="B12" s="82" t="s">
        <v>69</v>
      </c>
      <c r="C12" s="75"/>
      <c r="D12" s="82" t="s">
        <v>59</v>
      </c>
      <c r="E12" s="24" t="s">
        <v>70</v>
      </c>
      <c r="F12" s="28">
        <v>30000000</v>
      </c>
      <c r="G12" s="28">
        <v>5000000</v>
      </c>
      <c r="H12" s="28">
        <v>5000000</v>
      </c>
      <c r="I12" s="28">
        <v>5000000</v>
      </c>
      <c r="J12" s="28"/>
      <c r="K12" s="52"/>
      <c r="M12" s="5"/>
      <c r="N12" s="5"/>
      <c r="O12" s="20"/>
    </row>
    <row r="13" spans="1:15" ht="16" thickBot="1">
      <c r="A13" s="54"/>
      <c r="B13" s="83" t="s">
        <v>71</v>
      </c>
      <c r="C13" s="84"/>
      <c r="D13" s="76"/>
      <c r="E13" s="24" t="s">
        <v>72</v>
      </c>
      <c r="F13" s="28"/>
      <c r="G13" s="28"/>
      <c r="H13" s="28"/>
      <c r="I13" s="28"/>
      <c r="J13" s="28"/>
      <c r="K13" s="52"/>
      <c r="O13" s="20"/>
    </row>
    <row r="14" spans="1:15" ht="16" thickBot="1">
      <c r="A14" s="54"/>
      <c r="B14" s="85"/>
      <c r="C14" s="71"/>
      <c r="D14" s="70" t="s">
        <v>63</v>
      </c>
      <c r="E14" s="71"/>
      <c r="F14" s="28"/>
      <c r="G14" s="28"/>
      <c r="H14" s="28"/>
      <c r="I14" s="28"/>
      <c r="J14" s="28"/>
      <c r="K14" s="52"/>
      <c r="O14" s="20"/>
    </row>
    <row r="15" spans="1:15" ht="16" thickBot="1">
      <c r="A15" s="54"/>
      <c r="B15" s="82" t="s">
        <v>73</v>
      </c>
      <c r="C15" s="75"/>
      <c r="D15" s="79" t="s">
        <v>59</v>
      </c>
      <c r="E15" s="80"/>
      <c r="F15" s="28">
        <v>6032000</v>
      </c>
      <c r="G15" s="28">
        <v>27064000</v>
      </c>
      <c r="H15" s="28">
        <f>G15</f>
        <v>27064000</v>
      </c>
      <c r="I15" s="28">
        <f>H15</f>
        <v>27064000</v>
      </c>
      <c r="J15" s="28"/>
      <c r="K15" s="52"/>
      <c r="M15" s="5"/>
      <c r="N15" s="5"/>
      <c r="O15" s="20"/>
    </row>
    <row r="16" spans="1:15" ht="16" thickBot="1">
      <c r="A16" s="54"/>
      <c r="B16" s="70" t="s">
        <v>74</v>
      </c>
      <c r="C16" s="71"/>
      <c r="D16" s="79" t="s">
        <v>63</v>
      </c>
      <c r="E16" s="80"/>
      <c r="F16" s="28"/>
      <c r="G16" s="28"/>
      <c r="H16" s="28"/>
      <c r="I16" s="28"/>
      <c r="J16" s="28"/>
      <c r="K16" s="52"/>
      <c r="N16" s="5"/>
      <c r="O16" s="20"/>
    </row>
    <row r="17" spans="1:18" ht="16" thickBot="1">
      <c r="A17" s="54"/>
      <c r="B17" s="82" t="s">
        <v>75</v>
      </c>
      <c r="C17" s="75"/>
      <c r="D17" s="79" t="s">
        <v>59</v>
      </c>
      <c r="E17" s="80"/>
      <c r="F17" s="28"/>
      <c r="G17" s="28"/>
      <c r="H17" s="28"/>
      <c r="I17" s="28"/>
      <c r="J17" s="28"/>
      <c r="K17" s="52"/>
      <c r="N17" s="33"/>
      <c r="O17" s="20"/>
      <c r="P17" s="30"/>
      <c r="R17" s="30"/>
    </row>
    <row r="18" spans="1:18" ht="16" thickBot="1">
      <c r="A18" s="54"/>
      <c r="B18" s="70" t="s">
        <v>76</v>
      </c>
      <c r="C18" s="71"/>
      <c r="D18" s="79" t="s">
        <v>63</v>
      </c>
      <c r="E18" s="80"/>
      <c r="F18" s="29"/>
      <c r="G18" s="28"/>
      <c r="H18" s="28"/>
      <c r="I18" s="28"/>
      <c r="J18" s="28"/>
      <c r="K18" s="52"/>
      <c r="N18" s="5"/>
      <c r="O18" s="20"/>
    </row>
    <row r="19" spans="1:18" ht="16" thickBot="1">
      <c r="A19" s="54"/>
      <c r="B19" s="79" t="s">
        <v>77</v>
      </c>
      <c r="C19" s="81"/>
      <c r="D19" s="81"/>
      <c r="E19" s="80"/>
      <c r="F19" s="28">
        <f>SUM(F11,F3,F6)*0.2</f>
        <v>8568000</v>
      </c>
      <c r="G19" s="28">
        <f t="shared" ref="G19" si="1">SUM(G11,G3,G6)*0.2</f>
        <v>17136000</v>
      </c>
      <c r="H19" s="28">
        <f>G19</f>
        <v>17136000</v>
      </c>
      <c r="I19" s="28">
        <f>H19</f>
        <v>17136000</v>
      </c>
      <c r="J19" s="28"/>
      <c r="K19" s="52"/>
      <c r="N19" s="5"/>
      <c r="O19" s="20"/>
    </row>
    <row r="20" spans="1:18" ht="16" thickBot="1">
      <c r="A20" s="54"/>
      <c r="B20" s="79" t="s">
        <v>78</v>
      </c>
      <c r="C20" s="81"/>
      <c r="D20" s="81"/>
      <c r="E20" s="80"/>
      <c r="F20" s="58"/>
      <c r="G20" s="28"/>
      <c r="H20" s="28"/>
      <c r="I20" s="28"/>
      <c r="J20" s="28"/>
      <c r="K20" s="52"/>
      <c r="N20" s="5"/>
      <c r="O20" s="20"/>
    </row>
    <row r="21" spans="1:18" ht="16" thickBot="1">
      <c r="A21" s="21"/>
      <c r="B21" s="79" t="s">
        <v>79</v>
      </c>
      <c r="C21" s="81"/>
      <c r="D21" s="81"/>
      <c r="E21" s="80"/>
      <c r="F21" s="59">
        <f t="shared" ref="F21:I21" si="2">SUM(F11,F12:F14,F15:F16,F17,F19)</f>
        <v>83600000</v>
      </c>
      <c r="G21" s="59">
        <f t="shared" si="2"/>
        <v>127200000</v>
      </c>
      <c r="H21" s="59">
        <f t="shared" si="2"/>
        <v>127200000</v>
      </c>
      <c r="I21" s="59">
        <f t="shared" si="2"/>
        <v>127200000</v>
      </c>
      <c r="J21" s="28"/>
      <c r="K21" s="52"/>
      <c r="N21" s="5"/>
      <c r="O21" s="20"/>
    </row>
    <row r="22" spans="1:18" ht="16" thickBot="1">
      <c r="A22" s="79" t="s">
        <v>80</v>
      </c>
      <c r="B22" s="81"/>
      <c r="C22" s="81"/>
      <c r="D22" s="81"/>
      <c r="E22" s="80"/>
      <c r="F22" s="28"/>
      <c r="G22" s="28"/>
      <c r="H22" s="28">
        <f>G22</f>
        <v>0</v>
      </c>
      <c r="I22" s="28">
        <f>H22</f>
        <v>0</v>
      </c>
      <c r="J22" s="28"/>
      <c r="K22" s="52"/>
      <c r="N22" s="5"/>
      <c r="O22" s="20"/>
    </row>
    <row r="23" spans="1:18" ht="16" thickBot="1">
      <c r="A23" s="79" t="s">
        <v>81</v>
      </c>
      <c r="B23" s="81"/>
      <c r="C23" s="81"/>
      <c r="D23" s="81"/>
      <c r="E23" s="80"/>
      <c r="F23" s="28"/>
      <c r="G23" s="28">
        <f t="shared" ref="G23" si="3">F23*12/9</f>
        <v>0</v>
      </c>
      <c r="H23" s="28">
        <f t="shared" ref="H23:I24" si="4">G23</f>
        <v>0</v>
      </c>
      <c r="I23" s="28"/>
      <c r="J23" s="28"/>
      <c r="K23" s="60"/>
      <c r="N23" s="5"/>
      <c r="O23" s="20"/>
    </row>
    <row r="24" spans="1:18" ht="19" thickBot="1">
      <c r="A24" s="79" t="s">
        <v>82</v>
      </c>
      <c r="B24" s="81"/>
      <c r="C24" s="81"/>
      <c r="D24" s="81"/>
      <c r="E24" s="80"/>
      <c r="F24" s="61">
        <f>F21+F22</f>
        <v>83600000</v>
      </c>
      <c r="G24" s="61">
        <f>G21+G22</f>
        <v>127200000</v>
      </c>
      <c r="H24" s="34">
        <f t="shared" si="4"/>
        <v>127200000</v>
      </c>
      <c r="I24" s="34">
        <f t="shared" si="4"/>
        <v>127200000</v>
      </c>
      <c r="J24" s="28"/>
      <c r="K24" s="52"/>
      <c r="N24" s="5"/>
      <c r="O24" s="20"/>
    </row>
    <row r="25" spans="1:18">
      <c r="N25" s="5"/>
      <c r="O25" s="20"/>
    </row>
    <row r="26" spans="1:18">
      <c r="D26" s="30"/>
      <c r="N26" s="5"/>
      <c r="O26" s="20"/>
    </row>
    <row r="27" spans="1:18" ht="23">
      <c r="E27" s="62" t="s">
        <v>84</v>
      </c>
      <c r="F27" s="26" t="s">
        <v>89</v>
      </c>
      <c r="G27" s="26" t="s">
        <v>88</v>
      </c>
      <c r="H27" s="26" t="s">
        <v>88</v>
      </c>
      <c r="I27" s="26" t="s">
        <v>88</v>
      </c>
      <c r="J27" s="26"/>
      <c r="N27" s="5"/>
      <c r="O27" s="20"/>
    </row>
    <row r="28" spans="1:18" ht="17">
      <c r="E28" s="63" t="s">
        <v>87</v>
      </c>
      <c r="F28">
        <f>1.272/2+0.2</f>
        <v>0.83600000000000008</v>
      </c>
      <c r="O28" s="20"/>
    </row>
    <row r="29" spans="1:18">
      <c r="F29" s="20"/>
      <c r="G29" s="20"/>
      <c r="H29" s="20"/>
      <c r="I29" s="20"/>
      <c r="J29" s="20"/>
      <c r="O29" s="20"/>
    </row>
    <row r="30" spans="1:18">
      <c r="O30" s="20"/>
    </row>
    <row r="31" spans="1:18">
      <c r="F31" s="31"/>
      <c r="M31" s="5"/>
      <c r="N31" s="5"/>
      <c r="O31" s="20"/>
    </row>
    <row r="32" spans="1:18">
      <c r="F32" s="31"/>
      <c r="G32" s="32"/>
      <c r="O32" s="20"/>
    </row>
    <row r="33" spans="15:15">
      <c r="O33" s="20"/>
    </row>
    <row r="34" spans="15:15">
      <c r="O34" s="20"/>
    </row>
    <row r="35" spans="15:15">
      <c r="O35" s="20"/>
    </row>
    <row r="36" spans="15:15">
      <c r="O36" s="20"/>
    </row>
    <row r="37" spans="15:15">
      <c r="O37" s="20"/>
    </row>
    <row r="38" spans="15:15">
      <c r="O38" s="20"/>
    </row>
    <row r="39" spans="15:15">
      <c r="O39" s="20"/>
    </row>
    <row r="40" spans="15:15">
      <c r="O40" s="20"/>
    </row>
    <row r="41" spans="15:15">
      <c r="O41" s="20"/>
    </row>
    <row r="42" spans="15:15">
      <c r="O42" s="20"/>
    </row>
    <row r="43" spans="15:15">
      <c r="O43" s="20"/>
    </row>
    <row r="44" spans="15:15">
      <c r="O44" s="20"/>
    </row>
    <row r="45" spans="15:15">
      <c r="O45" s="20"/>
    </row>
    <row r="46" spans="15:15">
      <c r="O46" s="20"/>
    </row>
    <row r="47" spans="15:15">
      <c r="O47" s="20"/>
    </row>
    <row r="48" spans="15:15">
      <c r="O48" s="20"/>
    </row>
    <row r="49" spans="15:15">
      <c r="O49" s="20"/>
    </row>
    <row r="50" spans="15:15">
      <c r="O50" s="20"/>
    </row>
    <row r="51" spans="15:15">
      <c r="O51" s="20"/>
    </row>
    <row r="52" spans="15:15">
      <c r="O52" s="20"/>
    </row>
    <row r="53" spans="15:15">
      <c r="O53" s="20"/>
    </row>
    <row r="54" spans="15:15">
      <c r="O54" s="20"/>
    </row>
    <row r="55" spans="15:15">
      <c r="O55" s="20"/>
    </row>
    <row r="56" spans="15:15">
      <c r="O56" s="20"/>
    </row>
    <row r="57" spans="15:15">
      <c r="O57" s="20"/>
    </row>
    <row r="58" spans="15:15">
      <c r="O58" s="20"/>
    </row>
    <row r="59" spans="15:15">
      <c r="O59" s="20"/>
    </row>
    <row r="60" spans="15:15">
      <c r="O60" s="20"/>
    </row>
    <row r="61" spans="15:15">
      <c r="O61" s="20"/>
    </row>
    <row r="62" spans="15:15">
      <c r="O62" s="20"/>
    </row>
    <row r="63" spans="15:15">
      <c r="O63" s="20"/>
    </row>
    <row r="64" spans="15:15">
      <c r="O64" s="20"/>
    </row>
    <row r="65" spans="15:15">
      <c r="O65" s="20"/>
    </row>
    <row r="66" spans="15:15">
      <c r="O66" s="20"/>
    </row>
    <row r="67" spans="15:15">
      <c r="O67" s="20"/>
    </row>
    <row r="68" spans="15:15">
      <c r="O68" s="20"/>
    </row>
    <row r="69" spans="15:15">
      <c r="O69" s="20"/>
    </row>
    <row r="70" spans="15:15">
      <c r="O70" s="20"/>
    </row>
    <row r="71" spans="15:15">
      <c r="O71" s="20"/>
    </row>
    <row r="72" spans="15:15">
      <c r="O72" s="20"/>
    </row>
    <row r="73" spans="15:15">
      <c r="O73" s="20"/>
    </row>
    <row r="74" spans="15:15">
      <c r="O74" s="20"/>
    </row>
    <row r="75" spans="15:15">
      <c r="O75" s="20"/>
    </row>
    <row r="76" spans="15:15">
      <c r="O76" s="20"/>
    </row>
    <row r="77" spans="15:15">
      <c r="O77" s="20"/>
    </row>
    <row r="78" spans="15:15">
      <c r="O78" s="20"/>
    </row>
    <row r="79" spans="15:15">
      <c r="O79" s="20"/>
    </row>
    <row r="80" spans="15:15">
      <c r="O80" s="20"/>
    </row>
    <row r="81" spans="15:15">
      <c r="O81" s="20"/>
    </row>
    <row r="82" spans="15:15">
      <c r="O82" s="20"/>
    </row>
    <row r="83" spans="15:15">
      <c r="O83" s="20"/>
    </row>
    <row r="84" spans="15:15">
      <c r="O84" s="20"/>
    </row>
    <row r="85" spans="15:15">
      <c r="O85" s="20"/>
    </row>
    <row r="86" spans="15:15">
      <c r="O86" s="20"/>
    </row>
    <row r="87" spans="15:15">
      <c r="O87" s="20"/>
    </row>
    <row r="88" spans="15:15">
      <c r="O88" s="20"/>
    </row>
    <row r="89" spans="15:15">
      <c r="O89" s="20"/>
    </row>
    <row r="90" spans="15:15">
      <c r="O90" s="20"/>
    </row>
    <row r="91" spans="15:15">
      <c r="O91" s="20"/>
    </row>
    <row r="92" spans="15:15">
      <c r="O92" s="20"/>
    </row>
    <row r="93" spans="15:15">
      <c r="O93" s="20"/>
    </row>
    <row r="94" spans="15:15">
      <c r="O94" s="20"/>
    </row>
    <row r="95" spans="15:15">
      <c r="O95" s="20"/>
    </row>
    <row r="96" spans="15:15">
      <c r="O96" s="20"/>
    </row>
    <row r="97" spans="15:15">
      <c r="O97" s="20"/>
    </row>
    <row r="98" spans="15:15">
      <c r="O98" s="20"/>
    </row>
    <row r="99" spans="15:15">
      <c r="O99" s="20"/>
    </row>
    <row r="100" spans="15:15">
      <c r="O100" s="20"/>
    </row>
    <row r="101" spans="15:15">
      <c r="O101" s="20"/>
    </row>
    <row r="102" spans="15:15">
      <c r="O102" s="20"/>
    </row>
    <row r="103" spans="15:15">
      <c r="O103" s="20"/>
    </row>
    <row r="104" spans="15:15">
      <c r="O104" s="20"/>
    </row>
    <row r="105" spans="15:15">
      <c r="O105" s="20"/>
    </row>
    <row r="106" spans="15:15">
      <c r="O106" s="20"/>
    </row>
    <row r="107" spans="15:15">
      <c r="O107" s="20"/>
    </row>
    <row r="108" spans="15:15">
      <c r="O108" s="20"/>
    </row>
    <row r="109" spans="15:15">
      <c r="O109" s="20"/>
    </row>
    <row r="110" spans="15:15">
      <c r="O110" s="20"/>
    </row>
    <row r="111" spans="15:15">
      <c r="O111" s="20"/>
    </row>
    <row r="112" spans="15:15">
      <c r="O112" s="20"/>
    </row>
    <row r="113" spans="15:15">
      <c r="O113" s="20"/>
    </row>
    <row r="114" spans="15:15">
      <c r="O114" s="20"/>
    </row>
    <row r="115" spans="15:15">
      <c r="O115" s="20"/>
    </row>
    <row r="116" spans="15:15">
      <c r="O116" s="20"/>
    </row>
    <row r="117" spans="15:15">
      <c r="O117" s="20"/>
    </row>
    <row r="118" spans="15:15">
      <c r="O118" s="20"/>
    </row>
    <row r="119" spans="15:15">
      <c r="O119" s="20"/>
    </row>
    <row r="120" spans="15:15">
      <c r="O120" s="20"/>
    </row>
    <row r="121" spans="15:15">
      <c r="O121" s="20"/>
    </row>
    <row r="122" spans="15:15">
      <c r="O122" s="20"/>
    </row>
    <row r="123" spans="15:15">
      <c r="O123" s="20"/>
    </row>
    <row r="124" spans="15:15">
      <c r="O124" s="20"/>
    </row>
    <row r="125" spans="15:15">
      <c r="O125" s="20"/>
    </row>
    <row r="126" spans="15:15">
      <c r="O126" s="20"/>
    </row>
    <row r="127" spans="15:15">
      <c r="O127" s="20"/>
    </row>
    <row r="128" spans="15:15">
      <c r="O128" s="20"/>
    </row>
    <row r="129" spans="15:15">
      <c r="O129" s="20"/>
    </row>
    <row r="130" spans="15:15">
      <c r="O130" s="20"/>
    </row>
    <row r="131" spans="15:15">
      <c r="O131" s="20"/>
    </row>
    <row r="132" spans="15:15">
      <c r="O132" s="20"/>
    </row>
    <row r="133" spans="15:15">
      <c r="O133" s="20"/>
    </row>
    <row r="134" spans="15:15">
      <c r="O134" s="20"/>
    </row>
    <row r="135" spans="15:15">
      <c r="O135" s="20"/>
    </row>
    <row r="136" spans="15:15">
      <c r="O136" s="20"/>
    </row>
    <row r="137" spans="15:15">
      <c r="O137" s="20"/>
    </row>
    <row r="138" spans="15:15">
      <c r="O138" s="20"/>
    </row>
    <row r="139" spans="15:15">
      <c r="O139" s="20"/>
    </row>
    <row r="140" spans="15:15">
      <c r="O140" s="20"/>
    </row>
    <row r="141" spans="15:15">
      <c r="O141" s="20"/>
    </row>
    <row r="142" spans="15:15">
      <c r="O142" s="20"/>
    </row>
    <row r="143" spans="15:15">
      <c r="O143" s="20"/>
    </row>
    <row r="144" spans="15:15">
      <c r="O144" s="20"/>
    </row>
    <row r="145" spans="15:15">
      <c r="O145" s="20"/>
    </row>
    <row r="146" spans="15:15">
      <c r="O146" s="20"/>
    </row>
    <row r="147" spans="15:15">
      <c r="O147" s="20"/>
    </row>
    <row r="148" spans="15:15">
      <c r="O148" s="20"/>
    </row>
    <row r="149" spans="15:15">
      <c r="O149" s="20"/>
    </row>
    <row r="150" spans="15:15">
      <c r="O150" s="20"/>
    </row>
    <row r="151" spans="15:15">
      <c r="O151" s="20"/>
    </row>
    <row r="152" spans="15:15">
      <c r="O152" s="20"/>
    </row>
    <row r="153" spans="15:15">
      <c r="O153" s="20"/>
    </row>
    <row r="154" spans="15:15">
      <c r="O154" s="20"/>
    </row>
    <row r="155" spans="15:15">
      <c r="O155" s="20"/>
    </row>
    <row r="156" spans="15:15">
      <c r="O156" s="20"/>
    </row>
    <row r="157" spans="15:15">
      <c r="O157" s="20"/>
    </row>
    <row r="158" spans="15:15">
      <c r="O158" s="20"/>
    </row>
    <row r="159" spans="15:15">
      <c r="O159" s="20"/>
    </row>
    <row r="160" spans="15:15">
      <c r="O160" s="20"/>
    </row>
    <row r="161" spans="15:15">
      <c r="O161" s="20"/>
    </row>
    <row r="162" spans="15:15">
      <c r="O162" s="20"/>
    </row>
    <row r="163" spans="15:15">
      <c r="O163" s="20"/>
    </row>
    <row r="164" spans="15:15">
      <c r="O164" s="20"/>
    </row>
    <row r="165" spans="15:15">
      <c r="O165" s="20"/>
    </row>
    <row r="166" spans="15:15">
      <c r="O166" s="20"/>
    </row>
    <row r="167" spans="15:15">
      <c r="O167" s="20"/>
    </row>
    <row r="168" spans="15:15">
      <c r="O168" s="20"/>
    </row>
    <row r="169" spans="15:15">
      <c r="O169" s="20"/>
    </row>
    <row r="170" spans="15:15">
      <c r="O170" s="20"/>
    </row>
    <row r="171" spans="15:15">
      <c r="O171" s="20"/>
    </row>
    <row r="172" spans="15:15">
      <c r="O172" s="20"/>
    </row>
    <row r="173" spans="15:15">
      <c r="O173" s="20"/>
    </row>
    <row r="174" spans="15:15">
      <c r="O174" s="20"/>
    </row>
    <row r="175" spans="15:15">
      <c r="O175" s="20"/>
    </row>
    <row r="176" spans="15:15">
      <c r="O176" s="20"/>
    </row>
    <row r="177" spans="15:15">
      <c r="O177" s="20"/>
    </row>
    <row r="178" spans="15:15">
      <c r="O178" s="20"/>
    </row>
    <row r="179" spans="15:15">
      <c r="O179" s="20"/>
    </row>
    <row r="180" spans="15:15">
      <c r="O180" s="20"/>
    </row>
    <row r="181" spans="15:15">
      <c r="O181" s="20"/>
    </row>
    <row r="182" spans="15:15">
      <c r="O182" s="20"/>
    </row>
    <row r="183" spans="15:15">
      <c r="O183" s="20"/>
    </row>
    <row r="184" spans="15:15">
      <c r="O184" s="20"/>
    </row>
    <row r="185" spans="15:15">
      <c r="O185" s="20"/>
    </row>
    <row r="186" spans="15:15">
      <c r="O186" s="20"/>
    </row>
    <row r="187" spans="15:15">
      <c r="O187" s="20"/>
    </row>
    <row r="188" spans="15:15">
      <c r="O188" s="20"/>
    </row>
    <row r="189" spans="15:15">
      <c r="O189" s="20"/>
    </row>
    <row r="190" spans="15:15">
      <c r="O190" s="20"/>
    </row>
    <row r="191" spans="15:15">
      <c r="O191" s="20"/>
    </row>
    <row r="192" spans="15:15">
      <c r="O192" s="20"/>
    </row>
    <row r="193" spans="15:15">
      <c r="O193" s="20"/>
    </row>
    <row r="194" spans="15:15">
      <c r="O194" s="20"/>
    </row>
    <row r="195" spans="15:15">
      <c r="O195" s="20"/>
    </row>
    <row r="196" spans="15:15">
      <c r="O196" s="20"/>
    </row>
    <row r="197" spans="15:15">
      <c r="O197" s="20"/>
    </row>
    <row r="198" spans="15:15">
      <c r="O198" s="20"/>
    </row>
    <row r="199" spans="15:15">
      <c r="O199" s="20"/>
    </row>
    <row r="200" spans="15:15">
      <c r="O200" s="20"/>
    </row>
    <row r="201" spans="15:15">
      <c r="O201" s="20"/>
    </row>
    <row r="202" spans="15:15">
      <c r="O202" s="20"/>
    </row>
    <row r="203" spans="15:15">
      <c r="O203" s="20"/>
    </row>
    <row r="204" spans="15:15">
      <c r="O204" s="20"/>
    </row>
    <row r="205" spans="15:15">
      <c r="O205" s="20"/>
    </row>
    <row r="206" spans="15:15">
      <c r="O206" s="20"/>
    </row>
    <row r="207" spans="15:15">
      <c r="O207" s="20"/>
    </row>
    <row r="208" spans="15:15">
      <c r="O208" s="20"/>
    </row>
    <row r="209" spans="15:15">
      <c r="O209" s="20"/>
    </row>
    <row r="210" spans="15:15">
      <c r="O210" s="20"/>
    </row>
    <row r="211" spans="15:15">
      <c r="O211" s="20"/>
    </row>
    <row r="212" spans="15:15">
      <c r="O212" s="20"/>
    </row>
    <row r="213" spans="15:15">
      <c r="O213" s="20"/>
    </row>
    <row r="214" spans="15:15">
      <c r="O214" s="20"/>
    </row>
    <row r="215" spans="15:15">
      <c r="O215" s="20"/>
    </row>
    <row r="216" spans="15:15">
      <c r="O216" s="20"/>
    </row>
    <row r="217" spans="15:15">
      <c r="O217" s="20"/>
    </row>
    <row r="218" spans="15:15">
      <c r="O218" s="20"/>
    </row>
    <row r="219" spans="15:15">
      <c r="O219" s="20"/>
    </row>
    <row r="220" spans="15:15">
      <c r="O220" s="20"/>
    </row>
    <row r="221" spans="15:15">
      <c r="O221" s="20"/>
    </row>
    <row r="222" spans="15:15">
      <c r="O222" s="20"/>
    </row>
    <row r="223" spans="15:15">
      <c r="O223" s="20"/>
    </row>
    <row r="224" spans="15:15">
      <c r="O224" s="20"/>
    </row>
    <row r="225" spans="15:15">
      <c r="O225" s="20"/>
    </row>
    <row r="226" spans="15:15">
      <c r="O226" s="20"/>
    </row>
    <row r="227" spans="15:15">
      <c r="O227" s="20"/>
    </row>
    <row r="228" spans="15:15">
      <c r="O228" s="20"/>
    </row>
    <row r="229" spans="15:15">
      <c r="O229" s="20"/>
    </row>
    <row r="230" spans="15:15">
      <c r="O230" s="20"/>
    </row>
    <row r="231" spans="15:15">
      <c r="O231" s="20"/>
    </row>
    <row r="232" spans="15:15">
      <c r="O232" s="20"/>
    </row>
    <row r="233" spans="15:15">
      <c r="O233" s="20"/>
    </row>
    <row r="234" spans="15:15">
      <c r="O234" s="20"/>
    </row>
    <row r="235" spans="15:15">
      <c r="O235" s="20"/>
    </row>
    <row r="236" spans="15:15">
      <c r="O236" s="20"/>
    </row>
    <row r="237" spans="15:15">
      <c r="O237" s="20"/>
    </row>
    <row r="238" spans="15:15">
      <c r="O238" s="20"/>
    </row>
    <row r="239" spans="15:15">
      <c r="O239" s="20"/>
    </row>
    <row r="240" spans="15:15">
      <c r="O240" s="20"/>
    </row>
    <row r="241" spans="15:15">
      <c r="O241" s="20"/>
    </row>
    <row r="242" spans="15:15">
      <c r="O242" s="20"/>
    </row>
    <row r="243" spans="15:15">
      <c r="O243" s="20"/>
    </row>
    <row r="244" spans="15:15">
      <c r="O244" s="20"/>
    </row>
    <row r="245" spans="15:15">
      <c r="O245" s="20"/>
    </row>
    <row r="246" spans="15:15">
      <c r="O246" s="20"/>
    </row>
    <row r="247" spans="15:15">
      <c r="O247" s="20"/>
    </row>
    <row r="248" spans="15:15">
      <c r="O248" s="20"/>
    </row>
    <row r="249" spans="15:15">
      <c r="O249" s="20"/>
    </row>
    <row r="250" spans="15:15">
      <c r="O250" s="20"/>
    </row>
    <row r="251" spans="15:15">
      <c r="O251" s="20"/>
    </row>
    <row r="252" spans="15:15">
      <c r="O252" s="20"/>
    </row>
    <row r="253" spans="15:15">
      <c r="O253" s="20"/>
    </row>
    <row r="254" spans="15:15">
      <c r="O254" s="20"/>
    </row>
    <row r="255" spans="15:15">
      <c r="O255" s="20"/>
    </row>
    <row r="256" spans="15:15">
      <c r="O256" s="20"/>
    </row>
    <row r="257" spans="15:15">
      <c r="O257" s="20"/>
    </row>
    <row r="258" spans="15:15">
      <c r="O258" s="20"/>
    </row>
    <row r="259" spans="15:15">
      <c r="O259" s="20"/>
    </row>
    <row r="260" spans="15:15">
      <c r="O260" s="20"/>
    </row>
    <row r="261" spans="15:15">
      <c r="O261" s="20"/>
    </row>
    <row r="262" spans="15:15">
      <c r="O262" s="20"/>
    </row>
    <row r="263" spans="15:15">
      <c r="O263" s="20"/>
    </row>
    <row r="264" spans="15:15">
      <c r="O264" s="20"/>
    </row>
    <row r="265" spans="15:15">
      <c r="O265" s="20"/>
    </row>
    <row r="266" spans="15:15">
      <c r="O266" s="20"/>
    </row>
    <row r="267" spans="15:15">
      <c r="O267" s="20"/>
    </row>
    <row r="268" spans="15:15">
      <c r="O268" s="20"/>
    </row>
    <row r="269" spans="15:15">
      <c r="O269" s="20"/>
    </row>
    <row r="270" spans="15:15">
      <c r="O270" s="20"/>
    </row>
    <row r="271" spans="15:15">
      <c r="O271" s="20"/>
    </row>
    <row r="272" spans="15:15">
      <c r="O272" s="20"/>
    </row>
    <row r="273" spans="15:15">
      <c r="O273" s="20"/>
    </row>
    <row r="274" spans="15:15">
      <c r="O274" s="20"/>
    </row>
    <row r="275" spans="15:15">
      <c r="O275" s="20"/>
    </row>
    <row r="276" spans="15:15">
      <c r="O276" s="20"/>
    </row>
    <row r="277" spans="15:15">
      <c r="O277" s="20"/>
    </row>
    <row r="278" spans="15:15">
      <c r="O278" s="20"/>
    </row>
    <row r="279" spans="15:15">
      <c r="O279" s="20"/>
    </row>
    <row r="280" spans="15:15">
      <c r="O280" s="20"/>
    </row>
    <row r="281" spans="15:15">
      <c r="O281" s="20"/>
    </row>
    <row r="282" spans="15:15">
      <c r="O282" s="20"/>
    </row>
    <row r="283" spans="15:15">
      <c r="O283" s="20"/>
    </row>
    <row r="284" spans="15:15">
      <c r="O284" s="20"/>
    </row>
    <row r="285" spans="15:15">
      <c r="O285" s="20"/>
    </row>
    <row r="286" spans="15:15">
      <c r="O286" s="20"/>
    </row>
    <row r="287" spans="15:15">
      <c r="O287" s="20"/>
    </row>
    <row r="288" spans="15:15">
      <c r="O288" s="20"/>
    </row>
    <row r="289" spans="15:15">
      <c r="O289" s="20"/>
    </row>
    <row r="290" spans="15:15">
      <c r="O290" s="20"/>
    </row>
    <row r="291" spans="15:15">
      <c r="O291" s="20"/>
    </row>
    <row r="292" spans="15:15">
      <c r="O292" s="20"/>
    </row>
    <row r="293" spans="15:15">
      <c r="O293" s="20"/>
    </row>
    <row r="294" spans="15:15">
      <c r="O294" s="20"/>
    </row>
    <row r="295" spans="15:15">
      <c r="O295" s="20"/>
    </row>
    <row r="296" spans="15:15">
      <c r="O296" s="20"/>
    </row>
    <row r="297" spans="15:15">
      <c r="O297" s="20"/>
    </row>
    <row r="298" spans="15:15">
      <c r="O298" s="20"/>
    </row>
    <row r="299" spans="15:15">
      <c r="O299" s="20"/>
    </row>
    <row r="300" spans="15:15">
      <c r="O300" s="20"/>
    </row>
    <row r="301" spans="15:15">
      <c r="O301" s="20"/>
    </row>
    <row r="302" spans="15:15">
      <c r="O302" s="20"/>
    </row>
    <row r="303" spans="15:15">
      <c r="O303" s="20"/>
    </row>
    <row r="304" spans="15:15">
      <c r="O304" s="20"/>
    </row>
    <row r="305" spans="15:15">
      <c r="O305" s="20"/>
    </row>
    <row r="306" spans="15:15">
      <c r="O306" s="20"/>
    </row>
    <row r="307" spans="15:15">
      <c r="O307" s="20"/>
    </row>
    <row r="308" spans="15:15">
      <c r="O308" s="20"/>
    </row>
    <row r="309" spans="15:15">
      <c r="O309" s="20"/>
    </row>
    <row r="310" spans="15:15">
      <c r="O310" s="20"/>
    </row>
    <row r="311" spans="15:15">
      <c r="O311" s="20"/>
    </row>
    <row r="312" spans="15:15">
      <c r="O312" s="20"/>
    </row>
    <row r="313" spans="15:15">
      <c r="O313" s="20"/>
    </row>
    <row r="314" spans="15:15">
      <c r="O314" s="20"/>
    </row>
    <row r="315" spans="15:15">
      <c r="O315" s="20"/>
    </row>
    <row r="316" spans="15:15">
      <c r="O316" s="20"/>
    </row>
    <row r="317" spans="15:15">
      <c r="O317" s="20"/>
    </row>
    <row r="318" spans="15:15">
      <c r="O318" s="20"/>
    </row>
    <row r="319" spans="15:15">
      <c r="O319" s="20"/>
    </row>
    <row r="320" spans="15:15">
      <c r="O320" s="20"/>
    </row>
    <row r="321" spans="15:15">
      <c r="O321" s="20"/>
    </row>
    <row r="322" spans="15:15">
      <c r="O322" s="20"/>
    </row>
    <row r="323" spans="15:15">
      <c r="O323" s="20"/>
    </row>
    <row r="324" spans="15:15">
      <c r="O324" s="20"/>
    </row>
    <row r="325" spans="15:15">
      <c r="O325" s="20"/>
    </row>
    <row r="326" spans="15:15">
      <c r="O326" s="20"/>
    </row>
    <row r="327" spans="15:15">
      <c r="O327" s="20"/>
    </row>
    <row r="328" spans="15:15">
      <c r="O328" s="20"/>
    </row>
    <row r="329" spans="15:15">
      <c r="O329" s="20"/>
    </row>
    <row r="330" spans="15:15">
      <c r="O330" s="20"/>
    </row>
    <row r="331" spans="15:15">
      <c r="O331" s="20"/>
    </row>
    <row r="332" spans="15:15">
      <c r="O332" s="20"/>
    </row>
    <row r="333" spans="15:15">
      <c r="O333" s="20"/>
    </row>
    <row r="334" spans="15:15">
      <c r="O334" s="20"/>
    </row>
    <row r="335" spans="15:15">
      <c r="O335" s="20"/>
    </row>
    <row r="336" spans="15:15">
      <c r="O336" s="20"/>
    </row>
    <row r="337" spans="15:15">
      <c r="O337" s="20"/>
    </row>
    <row r="338" spans="15:15">
      <c r="O338" s="20"/>
    </row>
    <row r="339" spans="15:15">
      <c r="O339" s="20"/>
    </row>
    <row r="340" spans="15:15">
      <c r="O340" s="20"/>
    </row>
    <row r="341" spans="15:15">
      <c r="O341" s="20"/>
    </row>
    <row r="342" spans="15:15">
      <c r="O342" s="20"/>
    </row>
    <row r="343" spans="15:15">
      <c r="O343" s="20"/>
    </row>
    <row r="344" spans="15:15">
      <c r="O344" s="20"/>
    </row>
    <row r="345" spans="15:15">
      <c r="O345" s="20"/>
    </row>
    <row r="346" spans="15:15">
      <c r="O346" s="20"/>
    </row>
    <row r="347" spans="15:15">
      <c r="O347" s="20"/>
    </row>
    <row r="348" spans="15:15">
      <c r="O348" s="20"/>
    </row>
    <row r="349" spans="15:15">
      <c r="O349" s="20"/>
    </row>
    <row r="350" spans="15:15">
      <c r="O350" s="20"/>
    </row>
    <row r="351" spans="15:15">
      <c r="O351" s="20"/>
    </row>
    <row r="352" spans="15:15">
      <c r="O352" s="20"/>
    </row>
    <row r="353" spans="15:15">
      <c r="O353" s="20"/>
    </row>
    <row r="354" spans="15:15">
      <c r="O354" s="20"/>
    </row>
    <row r="355" spans="15:15">
      <c r="O355" s="20"/>
    </row>
    <row r="356" spans="15:15">
      <c r="O356" s="20"/>
    </row>
    <row r="357" spans="15:15">
      <c r="O357" s="20"/>
    </row>
    <row r="358" spans="15:15">
      <c r="O358" s="20"/>
    </row>
    <row r="359" spans="15:15">
      <c r="O359" s="20"/>
    </row>
    <row r="360" spans="15:15">
      <c r="O360" s="20"/>
    </row>
    <row r="361" spans="15:15">
      <c r="O361" s="20"/>
    </row>
    <row r="362" spans="15:15">
      <c r="O362" s="20"/>
    </row>
    <row r="363" spans="15:15">
      <c r="O363" s="20"/>
    </row>
    <row r="364" spans="15:15">
      <c r="O364" s="20"/>
    </row>
    <row r="365" spans="15:15">
      <c r="O365" s="20"/>
    </row>
    <row r="366" spans="15:15">
      <c r="O366" s="20"/>
    </row>
    <row r="367" spans="15:15">
      <c r="O367" s="20"/>
    </row>
    <row r="368" spans="15:15">
      <c r="O368" s="20"/>
    </row>
    <row r="369" spans="15:15">
      <c r="O369" s="20"/>
    </row>
    <row r="370" spans="15:15">
      <c r="O370" s="20"/>
    </row>
    <row r="371" spans="15:15">
      <c r="O371" s="20"/>
    </row>
    <row r="372" spans="15:15">
      <c r="O372" s="20"/>
    </row>
    <row r="373" spans="15:15">
      <c r="O373" s="20"/>
    </row>
    <row r="374" spans="15:15">
      <c r="O374" s="20"/>
    </row>
    <row r="375" spans="15:15">
      <c r="O375" s="20"/>
    </row>
    <row r="376" spans="15:15">
      <c r="O376" s="20"/>
    </row>
    <row r="377" spans="15:15">
      <c r="O377" s="20"/>
    </row>
    <row r="378" spans="15:15">
      <c r="O378" s="20"/>
    </row>
    <row r="379" spans="15:15">
      <c r="O379" s="20"/>
    </row>
    <row r="380" spans="15:15">
      <c r="O380" s="20"/>
    </row>
    <row r="381" spans="15:15">
      <c r="O381" s="20"/>
    </row>
    <row r="382" spans="15:15">
      <c r="O382" s="20"/>
    </row>
    <row r="383" spans="15:15">
      <c r="O383" s="20"/>
    </row>
    <row r="384" spans="15:15">
      <c r="O384" s="20"/>
    </row>
    <row r="385" spans="15:15">
      <c r="O385" s="20"/>
    </row>
    <row r="386" spans="15:15">
      <c r="O386" s="20"/>
    </row>
    <row r="387" spans="15:15">
      <c r="O387" s="20"/>
    </row>
    <row r="388" spans="15:15">
      <c r="O388" s="20"/>
    </row>
    <row r="389" spans="15:15">
      <c r="O389" s="20"/>
    </row>
    <row r="390" spans="15:15">
      <c r="O390" s="20"/>
    </row>
    <row r="391" spans="15:15">
      <c r="O391" s="20"/>
    </row>
    <row r="392" spans="15:15">
      <c r="O392" s="20"/>
    </row>
    <row r="393" spans="15:15">
      <c r="O393" s="20"/>
    </row>
    <row r="394" spans="15:15">
      <c r="O394" s="20"/>
    </row>
    <row r="395" spans="15:15">
      <c r="O395" s="20"/>
    </row>
    <row r="396" spans="15:15">
      <c r="O396" s="20"/>
    </row>
    <row r="397" spans="15:15">
      <c r="O397" s="20"/>
    </row>
    <row r="398" spans="15:15">
      <c r="O398" s="20"/>
    </row>
    <row r="399" spans="15:15">
      <c r="O399" s="20"/>
    </row>
    <row r="400" spans="15:15">
      <c r="O400" s="20"/>
    </row>
    <row r="401" spans="15:15">
      <c r="O401" s="20"/>
    </row>
    <row r="402" spans="15:15">
      <c r="O402" s="20"/>
    </row>
    <row r="403" spans="15:15">
      <c r="O403" s="20"/>
    </row>
    <row r="404" spans="15:15">
      <c r="O404" s="20"/>
    </row>
    <row r="405" spans="15:15">
      <c r="O405" s="20"/>
    </row>
    <row r="406" spans="15:15">
      <c r="O406" s="20"/>
    </row>
    <row r="407" spans="15:15">
      <c r="O407" s="20"/>
    </row>
    <row r="408" spans="15:15">
      <c r="O408" s="20"/>
    </row>
    <row r="409" spans="15:15">
      <c r="O409" s="20"/>
    </row>
    <row r="410" spans="15:15">
      <c r="O410" s="20"/>
    </row>
    <row r="411" spans="15:15">
      <c r="O411" s="20"/>
    </row>
    <row r="412" spans="15:15">
      <c r="O412" s="20"/>
    </row>
    <row r="413" spans="15:15">
      <c r="O413" s="20"/>
    </row>
    <row r="414" spans="15:15">
      <c r="O414" s="20"/>
    </row>
    <row r="415" spans="15:15">
      <c r="O415" s="20"/>
    </row>
    <row r="416" spans="15:15">
      <c r="O416" s="20"/>
    </row>
    <row r="417" spans="15:15">
      <c r="O417" s="20"/>
    </row>
    <row r="418" spans="15:15">
      <c r="O418" s="20"/>
    </row>
    <row r="419" spans="15:15">
      <c r="O419" s="20"/>
    </row>
    <row r="420" spans="15:15">
      <c r="O420" s="20"/>
    </row>
    <row r="421" spans="15:15">
      <c r="O421" s="20"/>
    </row>
    <row r="422" spans="15:15">
      <c r="O422" s="20"/>
    </row>
    <row r="423" spans="15:15">
      <c r="O423" s="20"/>
    </row>
    <row r="424" spans="15:15">
      <c r="O424" s="20"/>
    </row>
    <row r="425" spans="15:15">
      <c r="O425" s="20"/>
    </row>
    <row r="426" spans="15:15">
      <c r="O426" s="20"/>
    </row>
    <row r="427" spans="15:15">
      <c r="O427" s="20"/>
    </row>
    <row r="428" spans="15:15">
      <c r="O428" s="20"/>
    </row>
    <row r="429" spans="15:15">
      <c r="O429" s="20"/>
    </row>
    <row r="430" spans="15:15">
      <c r="O430" s="20"/>
    </row>
    <row r="431" spans="15:15">
      <c r="O431" s="20"/>
    </row>
    <row r="432" spans="15:15">
      <c r="O432" s="20"/>
    </row>
    <row r="433" spans="15:15">
      <c r="O433" s="20"/>
    </row>
    <row r="434" spans="15:15">
      <c r="O434" s="20"/>
    </row>
    <row r="435" spans="15:15">
      <c r="O435" s="20"/>
    </row>
    <row r="436" spans="15:15">
      <c r="O436" s="20"/>
    </row>
    <row r="437" spans="15:15">
      <c r="O437" s="20"/>
    </row>
    <row r="438" spans="15:15">
      <c r="O438" s="20"/>
    </row>
    <row r="439" spans="15:15">
      <c r="O439" s="20"/>
    </row>
    <row r="440" spans="15:15">
      <c r="O440" s="20"/>
    </row>
    <row r="441" spans="15:15">
      <c r="O441" s="20"/>
    </row>
    <row r="442" spans="15:15">
      <c r="O442" s="20"/>
    </row>
    <row r="443" spans="15:15">
      <c r="O443" s="20"/>
    </row>
    <row r="444" spans="15:15">
      <c r="O444" s="20"/>
    </row>
    <row r="445" spans="15:15">
      <c r="O445" s="20"/>
    </row>
    <row r="446" spans="15:15">
      <c r="O446" s="20"/>
    </row>
    <row r="447" spans="15:15">
      <c r="O447" s="20"/>
    </row>
    <row r="448" spans="15:15">
      <c r="O448" s="20"/>
    </row>
    <row r="449" spans="15:15">
      <c r="O449" s="20"/>
    </row>
    <row r="450" spans="15:15">
      <c r="O450" s="20"/>
    </row>
    <row r="451" spans="15:15">
      <c r="O451" s="20"/>
    </row>
    <row r="452" spans="15:15">
      <c r="O452" s="20"/>
    </row>
    <row r="453" spans="15:15">
      <c r="O453" s="20"/>
    </row>
    <row r="454" spans="15:15">
      <c r="O454" s="20"/>
    </row>
    <row r="455" spans="15:15">
      <c r="O455" s="20"/>
    </row>
    <row r="456" spans="15:15">
      <c r="O456" s="20"/>
    </row>
    <row r="457" spans="15:15">
      <c r="O457" s="20"/>
    </row>
    <row r="458" spans="15:15">
      <c r="O458" s="20"/>
    </row>
    <row r="459" spans="15:15">
      <c r="O459" s="20"/>
    </row>
    <row r="460" spans="15:15">
      <c r="O460" s="20"/>
    </row>
    <row r="461" spans="15:15">
      <c r="O461" s="20"/>
    </row>
    <row r="462" spans="15:15">
      <c r="O462" s="20"/>
    </row>
    <row r="463" spans="15:15">
      <c r="O463" s="20"/>
    </row>
    <row r="464" spans="15:15">
      <c r="O464" s="20"/>
    </row>
    <row r="465" spans="15:15">
      <c r="O465" s="20"/>
    </row>
    <row r="466" spans="15:15">
      <c r="O466" s="20"/>
    </row>
    <row r="467" spans="15:15">
      <c r="O467" s="20"/>
    </row>
    <row r="468" spans="15:15">
      <c r="O468" s="20"/>
    </row>
    <row r="469" spans="15:15">
      <c r="O469" s="20"/>
    </row>
    <row r="470" spans="15:15">
      <c r="O470" s="20"/>
    </row>
    <row r="471" spans="15:15">
      <c r="O471" s="20"/>
    </row>
    <row r="472" spans="15:15">
      <c r="O472" s="20"/>
    </row>
    <row r="473" spans="15:15">
      <c r="O473" s="20"/>
    </row>
    <row r="474" spans="15:15">
      <c r="O474" s="20"/>
    </row>
    <row r="475" spans="15:15">
      <c r="O475" s="20"/>
    </row>
    <row r="476" spans="15:15">
      <c r="O476" s="20"/>
    </row>
    <row r="477" spans="15:15">
      <c r="O477" s="20"/>
    </row>
    <row r="478" spans="15:15">
      <c r="O478" s="20"/>
    </row>
    <row r="479" spans="15:15">
      <c r="O479" s="20"/>
    </row>
    <row r="480" spans="15:15">
      <c r="O480" s="20"/>
    </row>
    <row r="481" spans="15:15">
      <c r="O481" s="20"/>
    </row>
    <row r="482" spans="15:15">
      <c r="O482" s="20"/>
    </row>
    <row r="483" spans="15:15">
      <c r="O483" s="20"/>
    </row>
    <row r="484" spans="15:15">
      <c r="O484" s="20"/>
    </row>
    <row r="485" spans="15:15">
      <c r="O485" s="20"/>
    </row>
    <row r="486" spans="15:15">
      <c r="O486" s="20"/>
    </row>
    <row r="487" spans="15:15">
      <c r="O487" s="20"/>
    </row>
    <row r="488" spans="15:15">
      <c r="O488" s="20"/>
    </row>
    <row r="489" spans="15:15">
      <c r="O489" s="20"/>
    </row>
    <row r="490" spans="15:15">
      <c r="O490" s="20"/>
    </row>
    <row r="491" spans="15:15">
      <c r="O491" s="20"/>
    </row>
    <row r="492" spans="15:15">
      <c r="O492" s="20"/>
    </row>
    <row r="493" spans="15:15">
      <c r="O493" s="20"/>
    </row>
    <row r="494" spans="15:15">
      <c r="O494" s="20"/>
    </row>
    <row r="495" spans="15:15">
      <c r="O495" s="20"/>
    </row>
    <row r="496" spans="15:15">
      <c r="O496" s="20"/>
    </row>
    <row r="497" spans="15:15">
      <c r="O497" s="20"/>
    </row>
    <row r="498" spans="15:15">
      <c r="O498" s="20"/>
    </row>
    <row r="499" spans="15:15">
      <c r="O499" s="20"/>
    </row>
    <row r="500" spans="15:15">
      <c r="O500" s="20"/>
    </row>
    <row r="501" spans="15:15">
      <c r="O501" s="20"/>
    </row>
    <row r="502" spans="15:15">
      <c r="O502" s="20"/>
    </row>
    <row r="503" spans="15:15">
      <c r="O503" s="20"/>
    </row>
    <row r="504" spans="15:15">
      <c r="O504" s="20"/>
    </row>
    <row r="505" spans="15:15">
      <c r="O505" s="20"/>
    </row>
    <row r="506" spans="15:15">
      <c r="O506" s="20"/>
    </row>
    <row r="507" spans="15:15">
      <c r="O507" s="20"/>
    </row>
    <row r="508" spans="15:15">
      <c r="O508" s="20"/>
    </row>
    <row r="509" spans="15:15">
      <c r="O509" s="20"/>
    </row>
    <row r="510" spans="15:15">
      <c r="O510" s="20"/>
    </row>
    <row r="511" spans="15:15">
      <c r="O511" s="20"/>
    </row>
    <row r="512" spans="15:15">
      <c r="O512" s="20"/>
    </row>
    <row r="513" spans="15:15">
      <c r="O513" s="20"/>
    </row>
    <row r="514" spans="15:15">
      <c r="O514" s="20"/>
    </row>
    <row r="515" spans="15:15">
      <c r="O515" s="20"/>
    </row>
    <row r="516" spans="15:15">
      <c r="O516" s="20"/>
    </row>
    <row r="517" spans="15:15">
      <c r="O517" s="20"/>
    </row>
    <row r="518" spans="15:15">
      <c r="O518" s="20"/>
    </row>
    <row r="519" spans="15:15">
      <c r="O519" s="20"/>
    </row>
    <row r="520" spans="15:15">
      <c r="O520" s="20"/>
    </row>
    <row r="521" spans="15:15">
      <c r="O521" s="20"/>
    </row>
    <row r="522" spans="15:15">
      <c r="O522" s="20"/>
    </row>
    <row r="523" spans="15:15">
      <c r="O523" s="20"/>
    </row>
    <row r="524" spans="15:15">
      <c r="O524" s="20"/>
    </row>
    <row r="525" spans="15:15">
      <c r="O525" s="20"/>
    </row>
    <row r="526" spans="15:15">
      <c r="O526" s="20"/>
    </row>
    <row r="527" spans="15:15">
      <c r="O527" s="20"/>
    </row>
    <row r="528" spans="15:15">
      <c r="O528" s="20"/>
    </row>
    <row r="529" spans="15:15">
      <c r="O529" s="20"/>
    </row>
    <row r="530" spans="15:15">
      <c r="O530" s="20"/>
    </row>
    <row r="531" spans="15:15">
      <c r="O531" s="20"/>
    </row>
    <row r="532" spans="15:15">
      <c r="O532" s="20"/>
    </row>
    <row r="533" spans="15:15">
      <c r="O533" s="20"/>
    </row>
    <row r="534" spans="15:15">
      <c r="O534" s="20"/>
    </row>
    <row r="535" spans="15:15">
      <c r="O535" s="20"/>
    </row>
    <row r="536" spans="15:15">
      <c r="O536" s="20"/>
    </row>
    <row r="537" spans="15:15">
      <c r="O537" s="20"/>
    </row>
    <row r="538" spans="15:15">
      <c r="O538" s="20"/>
    </row>
    <row r="539" spans="15:15">
      <c r="O539" s="20"/>
    </row>
    <row r="540" spans="15:15">
      <c r="O540" s="20"/>
    </row>
    <row r="541" spans="15:15">
      <c r="O541" s="20"/>
    </row>
    <row r="542" spans="15:15">
      <c r="O542" s="20"/>
    </row>
    <row r="543" spans="15:15">
      <c r="O543" s="20"/>
    </row>
    <row r="544" spans="15:15">
      <c r="O544" s="20"/>
    </row>
    <row r="545" spans="15:15">
      <c r="O545" s="20"/>
    </row>
    <row r="546" spans="15:15">
      <c r="O546" s="20"/>
    </row>
    <row r="547" spans="15:15">
      <c r="O547" s="20"/>
    </row>
    <row r="548" spans="15:15">
      <c r="O548" s="20"/>
    </row>
    <row r="549" spans="15:15">
      <c r="O549" s="20"/>
    </row>
    <row r="550" spans="15:15">
      <c r="O550" s="20"/>
    </row>
    <row r="551" spans="15:15">
      <c r="O551" s="20"/>
    </row>
    <row r="552" spans="15:15">
      <c r="O552" s="20"/>
    </row>
    <row r="553" spans="15:15">
      <c r="O553" s="20"/>
    </row>
    <row r="554" spans="15:15">
      <c r="O554" s="20"/>
    </row>
    <row r="555" spans="15:15">
      <c r="O555" s="20"/>
    </row>
    <row r="556" spans="15:15">
      <c r="O556" s="20"/>
    </row>
    <row r="557" spans="15:15">
      <c r="O557" s="20"/>
    </row>
    <row r="558" spans="15:15">
      <c r="O558" s="20"/>
    </row>
    <row r="559" spans="15:15">
      <c r="O559" s="20"/>
    </row>
    <row r="560" spans="15:15">
      <c r="O560" s="20"/>
    </row>
    <row r="561" spans="15:15">
      <c r="O561" s="20"/>
    </row>
    <row r="562" spans="15:15">
      <c r="O562" s="20"/>
    </row>
    <row r="563" spans="15:15">
      <c r="O563" s="20"/>
    </row>
    <row r="564" spans="15:15">
      <c r="O564" s="20"/>
    </row>
    <row r="565" spans="15:15">
      <c r="O565" s="20"/>
    </row>
    <row r="566" spans="15:15">
      <c r="O566" s="20"/>
    </row>
    <row r="567" spans="15:15">
      <c r="O567" s="20"/>
    </row>
    <row r="568" spans="15:15">
      <c r="O568" s="20"/>
    </row>
    <row r="569" spans="15:15">
      <c r="O569" s="20"/>
    </row>
    <row r="570" spans="15:15">
      <c r="O570" s="20"/>
    </row>
    <row r="571" spans="15:15">
      <c r="O571" s="20"/>
    </row>
    <row r="572" spans="15:15">
      <c r="O572" s="20"/>
    </row>
    <row r="573" spans="15:15">
      <c r="O573" s="20"/>
    </row>
    <row r="574" spans="15:15">
      <c r="O574" s="20"/>
    </row>
    <row r="575" spans="15:15">
      <c r="O575" s="20"/>
    </row>
    <row r="576" spans="15:15">
      <c r="O576" s="20"/>
    </row>
    <row r="577" spans="15:15">
      <c r="O577" s="20"/>
    </row>
    <row r="578" spans="15:15">
      <c r="O578" s="20"/>
    </row>
    <row r="579" spans="15:15">
      <c r="O579" s="20"/>
    </row>
    <row r="580" spans="15:15">
      <c r="O580" s="20"/>
    </row>
    <row r="581" spans="15:15">
      <c r="O581" s="20"/>
    </row>
    <row r="582" spans="15:15">
      <c r="O582" s="20"/>
    </row>
    <row r="583" spans="15:15">
      <c r="O583" s="20"/>
    </row>
    <row r="584" spans="15:15">
      <c r="O584" s="20"/>
    </row>
    <row r="585" spans="15:15">
      <c r="O585" s="20"/>
    </row>
    <row r="586" spans="15:15">
      <c r="O586" s="20"/>
    </row>
    <row r="587" spans="15:15">
      <c r="O587" s="20"/>
    </row>
    <row r="588" spans="15:15">
      <c r="O588" s="20"/>
    </row>
    <row r="589" spans="15:15">
      <c r="O589" s="20"/>
    </row>
    <row r="590" spans="15:15">
      <c r="O590" s="20"/>
    </row>
    <row r="591" spans="15:15">
      <c r="O591" s="20"/>
    </row>
    <row r="592" spans="15:15">
      <c r="O592" s="20"/>
    </row>
    <row r="593" spans="15:15">
      <c r="O593" s="20"/>
    </row>
    <row r="594" spans="15:15">
      <c r="O594" s="20"/>
    </row>
    <row r="595" spans="15:15">
      <c r="O595" s="20"/>
    </row>
    <row r="596" spans="15:15">
      <c r="O596" s="20"/>
    </row>
    <row r="597" spans="15:15">
      <c r="O597" s="20"/>
    </row>
    <row r="598" spans="15:15">
      <c r="O598" s="20"/>
    </row>
    <row r="599" spans="15:15">
      <c r="O599" s="20"/>
    </row>
    <row r="600" spans="15:15">
      <c r="O600" s="20"/>
    </row>
    <row r="601" spans="15:15">
      <c r="O601" s="20"/>
    </row>
    <row r="602" spans="15:15">
      <c r="O602" s="20"/>
    </row>
    <row r="603" spans="15:15">
      <c r="O603" s="20"/>
    </row>
    <row r="604" spans="15:15">
      <c r="O604" s="20"/>
    </row>
    <row r="605" spans="15:15">
      <c r="O605" s="20"/>
    </row>
    <row r="606" spans="15:15">
      <c r="O606" s="20"/>
    </row>
    <row r="607" spans="15:15">
      <c r="O607" s="20"/>
    </row>
    <row r="608" spans="15:15">
      <c r="O608" s="20"/>
    </row>
    <row r="609" spans="15:15">
      <c r="O609" s="20"/>
    </row>
    <row r="610" spans="15:15">
      <c r="O610" s="20"/>
    </row>
    <row r="611" spans="15:15">
      <c r="O611" s="20"/>
    </row>
    <row r="612" spans="15:15">
      <c r="O612" s="20"/>
    </row>
    <row r="613" spans="15:15">
      <c r="O613" s="20"/>
    </row>
    <row r="614" spans="15:15">
      <c r="O614" s="20"/>
    </row>
    <row r="615" spans="15:15">
      <c r="O615" s="20"/>
    </row>
    <row r="616" spans="15:15">
      <c r="O616" s="20"/>
    </row>
    <row r="617" spans="15:15">
      <c r="O617" s="20"/>
    </row>
    <row r="618" spans="15:15">
      <c r="O618" s="20"/>
    </row>
    <row r="619" spans="15:15">
      <c r="O619" s="20"/>
    </row>
    <row r="620" spans="15:15">
      <c r="O620" s="20"/>
    </row>
    <row r="621" spans="15:15">
      <c r="O621" s="20"/>
    </row>
    <row r="622" spans="15:15">
      <c r="O622" s="20"/>
    </row>
    <row r="623" spans="15:15">
      <c r="O623" s="20"/>
    </row>
    <row r="624" spans="15:15">
      <c r="O624" s="20"/>
    </row>
    <row r="625" spans="15:15">
      <c r="O625" s="20"/>
    </row>
    <row r="626" spans="15:15">
      <c r="O626" s="20"/>
    </row>
    <row r="627" spans="15:15">
      <c r="O627" s="20"/>
    </row>
    <row r="628" spans="15:15">
      <c r="O628" s="20"/>
    </row>
    <row r="629" spans="15:15">
      <c r="O629" s="20"/>
    </row>
    <row r="630" spans="15:15">
      <c r="O630" s="20"/>
    </row>
    <row r="631" spans="15:15">
      <c r="O631" s="20"/>
    </row>
    <row r="632" spans="15:15">
      <c r="O632" s="20"/>
    </row>
    <row r="633" spans="15:15">
      <c r="O633" s="20"/>
    </row>
    <row r="634" spans="15:15">
      <c r="O634" s="20"/>
    </row>
    <row r="635" spans="15:15">
      <c r="O635" s="20"/>
    </row>
    <row r="636" spans="15:15">
      <c r="O636" s="20"/>
    </row>
    <row r="637" spans="15:15">
      <c r="O637" s="20"/>
    </row>
    <row r="638" spans="15:15">
      <c r="O638" s="20"/>
    </row>
    <row r="639" spans="15:15">
      <c r="O639" s="20"/>
    </row>
    <row r="640" spans="15:15">
      <c r="O640" s="20"/>
    </row>
    <row r="641" spans="15:15">
      <c r="O641" s="20"/>
    </row>
    <row r="642" spans="15:15">
      <c r="O642" s="20"/>
    </row>
    <row r="643" spans="15:15">
      <c r="O643" s="20"/>
    </row>
    <row r="644" spans="15:15">
      <c r="O644" s="20"/>
    </row>
    <row r="645" spans="15:15">
      <c r="O645" s="20"/>
    </row>
    <row r="646" spans="15:15">
      <c r="O646" s="20"/>
    </row>
    <row r="647" spans="15:15">
      <c r="O647" s="20"/>
    </row>
    <row r="648" spans="15:15">
      <c r="O648" s="20"/>
    </row>
    <row r="649" spans="15:15">
      <c r="O649" s="20"/>
    </row>
    <row r="650" spans="15:15">
      <c r="O650" s="20"/>
    </row>
    <row r="651" spans="15:15">
      <c r="O651" s="20"/>
    </row>
    <row r="652" spans="15:15">
      <c r="O652" s="20"/>
    </row>
    <row r="653" spans="15:15">
      <c r="O653" s="20"/>
    </row>
    <row r="654" spans="15:15">
      <c r="O654" s="20"/>
    </row>
    <row r="655" spans="15:15">
      <c r="O655" s="20"/>
    </row>
    <row r="656" spans="15:15">
      <c r="O656" s="20"/>
    </row>
    <row r="657" spans="15:15">
      <c r="O657" s="20"/>
    </row>
    <row r="658" spans="15:15">
      <c r="O658" s="20"/>
    </row>
    <row r="659" spans="15:15">
      <c r="O659" s="20"/>
    </row>
    <row r="660" spans="15:15">
      <c r="O660" s="20"/>
    </row>
    <row r="661" spans="15:15">
      <c r="O661" s="20"/>
    </row>
    <row r="662" spans="15:15">
      <c r="O662" s="20"/>
    </row>
    <row r="663" spans="15:15">
      <c r="O663" s="20"/>
    </row>
    <row r="664" spans="15:15">
      <c r="O664" s="20"/>
    </row>
    <row r="665" spans="15:15">
      <c r="O665" s="20"/>
    </row>
    <row r="666" spans="15:15">
      <c r="O666" s="20"/>
    </row>
    <row r="667" spans="15:15">
      <c r="O667" s="20"/>
    </row>
    <row r="668" spans="15:15">
      <c r="O668" s="20"/>
    </row>
    <row r="669" spans="15:15">
      <c r="O669" s="20"/>
    </row>
    <row r="670" spans="15:15">
      <c r="O670" s="20"/>
    </row>
    <row r="671" spans="15:15">
      <c r="O671" s="20"/>
    </row>
    <row r="672" spans="15:15">
      <c r="O672" s="20"/>
    </row>
    <row r="673" spans="15:15">
      <c r="O673" s="20"/>
    </row>
    <row r="674" spans="15:15">
      <c r="O674" s="20"/>
    </row>
    <row r="675" spans="15:15">
      <c r="O675" s="20"/>
    </row>
    <row r="676" spans="15:15">
      <c r="O676" s="20"/>
    </row>
    <row r="677" spans="15:15">
      <c r="O677" s="20"/>
    </row>
    <row r="678" spans="15:15">
      <c r="O678" s="20"/>
    </row>
    <row r="679" spans="15:15">
      <c r="O679" s="20"/>
    </row>
    <row r="680" spans="15:15">
      <c r="O680" s="20"/>
    </row>
    <row r="681" spans="15:15">
      <c r="O681" s="20"/>
    </row>
    <row r="682" spans="15:15">
      <c r="O682" s="20"/>
    </row>
    <row r="683" spans="15:15">
      <c r="O683" s="20"/>
    </row>
    <row r="684" spans="15:15">
      <c r="O684" s="20"/>
    </row>
    <row r="685" spans="15:15">
      <c r="O685" s="20"/>
    </row>
    <row r="686" spans="15:15">
      <c r="O686" s="20"/>
    </row>
    <row r="687" spans="15:15">
      <c r="O687" s="20"/>
    </row>
    <row r="688" spans="15:15">
      <c r="O688" s="20"/>
    </row>
    <row r="689" spans="15:15">
      <c r="O689" s="20"/>
    </row>
    <row r="690" spans="15:15">
      <c r="O690" s="20"/>
    </row>
    <row r="691" spans="15:15">
      <c r="O691" s="20"/>
    </row>
    <row r="692" spans="15:15">
      <c r="O692" s="20"/>
    </row>
    <row r="693" spans="15:15">
      <c r="O693" s="20"/>
    </row>
    <row r="694" spans="15:15">
      <c r="O694" s="20"/>
    </row>
    <row r="695" spans="15:15">
      <c r="O695" s="20"/>
    </row>
    <row r="696" spans="15:15">
      <c r="O696" s="20"/>
    </row>
    <row r="697" spans="15:15">
      <c r="O697" s="20"/>
    </row>
    <row r="698" spans="15:15">
      <c r="O698" s="20"/>
    </row>
    <row r="699" spans="15:15">
      <c r="O699" s="20"/>
    </row>
    <row r="700" spans="15:15">
      <c r="O700" s="20"/>
    </row>
    <row r="701" spans="15:15">
      <c r="O701" s="20"/>
    </row>
    <row r="702" spans="15:15">
      <c r="O702" s="20"/>
    </row>
    <row r="703" spans="15:15">
      <c r="O703" s="20"/>
    </row>
    <row r="704" spans="15:15">
      <c r="O704" s="20"/>
    </row>
    <row r="705" spans="15:15">
      <c r="O705" s="20"/>
    </row>
    <row r="706" spans="15:15">
      <c r="O706" s="20"/>
    </row>
    <row r="707" spans="15:15">
      <c r="O707" s="20"/>
    </row>
    <row r="708" spans="15:15">
      <c r="O708" s="20"/>
    </row>
    <row r="709" spans="15:15">
      <c r="O709" s="20"/>
    </row>
    <row r="710" spans="15:15">
      <c r="O710" s="20"/>
    </row>
    <row r="711" spans="15:15">
      <c r="O711" s="20"/>
    </row>
    <row r="712" spans="15:15">
      <c r="O712" s="20"/>
    </row>
    <row r="713" spans="15:15">
      <c r="O713" s="20"/>
    </row>
    <row r="714" spans="15:15">
      <c r="O714" s="20"/>
    </row>
    <row r="715" spans="15:15">
      <c r="O715" s="20"/>
    </row>
    <row r="716" spans="15:15">
      <c r="O716" s="20"/>
    </row>
    <row r="717" spans="15:15">
      <c r="O717" s="20"/>
    </row>
    <row r="718" spans="15:15">
      <c r="O718" s="20"/>
    </row>
    <row r="719" spans="15:15">
      <c r="O719" s="20"/>
    </row>
    <row r="720" spans="15:15">
      <c r="O720" s="20"/>
    </row>
    <row r="721" spans="15:15">
      <c r="O721" s="20"/>
    </row>
    <row r="722" spans="15:15">
      <c r="O722" s="20"/>
    </row>
    <row r="723" spans="15:15">
      <c r="O723" s="20"/>
    </row>
    <row r="724" spans="15:15">
      <c r="O724" s="20"/>
    </row>
    <row r="725" spans="15:15">
      <c r="O725" s="20"/>
    </row>
    <row r="726" spans="15:15">
      <c r="O726" s="20"/>
    </row>
    <row r="727" spans="15:15">
      <c r="O727" s="20"/>
    </row>
    <row r="728" spans="15:15">
      <c r="O728" s="20"/>
    </row>
    <row r="729" spans="15:15">
      <c r="O729" s="20"/>
    </row>
    <row r="730" spans="15:15">
      <c r="O730" s="20"/>
    </row>
    <row r="731" spans="15:15">
      <c r="O731" s="20"/>
    </row>
    <row r="732" spans="15:15">
      <c r="O732" s="20"/>
    </row>
    <row r="733" spans="15:15">
      <c r="O733" s="20"/>
    </row>
    <row r="734" spans="15:15">
      <c r="O734" s="20"/>
    </row>
    <row r="735" spans="15:15">
      <c r="O735" s="20"/>
    </row>
    <row r="736" spans="15:15">
      <c r="O736" s="20"/>
    </row>
    <row r="737" spans="15:15">
      <c r="O737" s="20"/>
    </row>
    <row r="738" spans="15:15">
      <c r="O738" s="20"/>
    </row>
    <row r="739" spans="15:15">
      <c r="O739" s="20"/>
    </row>
    <row r="740" spans="15:15">
      <c r="O740" s="20"/>
    </row>
    <row r="741" spans="15:15">
      <c r="O741" s="20"/>
    </row>
    <row r="742" spans="15:15">
      <c r="O742" s="20"/>
    </row>
    <row r="743" spans="15:15">
      <c r="O743" s="20"/>
    </row>
    <row r="744" spans="15:15">
      <c r="O744" s="20"/>
    </row>
    <row r="745" spans="15:15">
      <c r="O745" s="20"/>
    </row>
    <row r="746" spans="15:15">
      <c r="O746" s="20"/>
    </row>
    <row r="747" spans="15:15">
      <c r="O747" s="20"/>
    </row>
    <row r="748" spans="15:15">
      <c r="O748" s="20"/>
    </row>
    <row r="749" spans="15:15">
      <c r="O749" s="20"/>
    </row>
    <row r="750" spans="15:15">
      <c r="O750" s="20"/>
    </row>
    <row r="751" spans="15:15">
      <c r="O751" s="20"/>
    </row>
    <row r="752" spans="15:15">
      <c r="O752" s="20"/>
    </row>
    <row r="753" spans="15:15">
      <c r="O753" s="20"/>
    </row>
    <row r="754" spans="15:15">
      <c r="O754" s="20"/>
    </row>
    <row r="755" spans="15:15">
      <c r="O755" s="20"/>
    </row>
    <row r="756" spans="15:15">
      <c r="O756" s="20"/>
    </row>
    <row r="757" spans="15:15">
      <c r="O757" s="20"/>
    </row>
    <row r="758" spans="15:15">
      <c r="O758" s="20"/>
    </row>
    <row r="759" spans="15:15">
      <c r="O759" s="20"/>
    </row>
    <row r="760" spans="15:15">
      <c r="O760" s="20"/>
    </row>
    <row r="761" spans="15:15">
      <c r="O761" s="20"/>
    </row>
    <row r="762" spans="15:15">
      <c r="O762" s="20"/>
    </row>
    <row r="763" spans="15:15">
      <c r="O763" s="20"/>
    </row>
    <row r="764" spans="15:15">
      <c r="O764" s="20"/>
    </row>
    <row r="765" spans="15:15">
      <c r="O765" s="20"/>
    </row>
    <row r="766" spans="15:15">
      <c r="O766" s="20"/>
    </row>
    <row r="767" spans="15:15">
      <c r="O767" s="20"/>
    </row>
    <row r="768" spans="15:15">
      <c r="O768" s="20"/>
    </row>
    <row r="769" spans="15:15">
      <c r="O769" s="20"/>
    </row>
    <row r="770" spans="15:15">
      <c r="O770" s="20"/>
    </row>
    <row r="771" spans="15:15">
      <c r="O771" s="20"/>
    </row>
    <row r="772" spans="15:15">
      <c r="O772" s="20"/>
    </row>
    <row r="773" spans="15:15">
      <c r="O773" s="20"/>
    </row>
    <row r="774" spans="15:15">
      <c r="O774" s="20"/>
    </row>
    <row r="775" spans="15:15">
      <c r="O775" s="20"/>
    </row>
    <row r="776" spans="15:15">
      <c r="O776" s="20"/>
    </row>
    <row r="777" spans="15:15">
      <c r="O777" s="20"/>
    </row>
    <row r="778" spans="15:15">
      <c r="O778" s="20"/>
    </row>
    <row r="779" spans="15:15">
      <c r="O779" s="20"/>
    </row>
    <row r="780" spans="15:15">
      <c r="O780" s="20"/>
    </row>
    <row r="781" spans="15:15">
      <c r="O781" s="20"/>
    </row>
    <row r="782" spans="15:15">
      <c r="O782" s="20"/>
    </row>
    <row r="783" spans="15:15">
      <c r="O783" s="20"/>
    </row>
    <row r="784" spans="15:15">
      <c r="O784" s="20"/>
    </row>
    <row r="785" spans="15:15">
      <c r="O785" s="20"/>
    </row>
    <row r="786" spans="15:15">
      <c r="O786" s="20"/>
    </row>
    <row r="787" spans="15:15">
      <c r="O787" s="20"/>
    </row>
    <row r="788" spans="15:15">
      <c r="O788" s="20"/>
    </row>
    <row r="789" spans="15:15">
      <c r="O789" s="20"/>
    </row>
    <row r="790" spans="15:15">
      <c r="O790" s="20"/>
    </row>
    <row r="791" spans="15:15">
      <c r="O791" s="20"/>
    </row>
    <row r="792" spans="15:15">
      <c r="O792" s="20"/>
    </row>
    <row r="793" spans="15:15">
      <c r="O793" s="20"/>
    </row>
    <row r="794" spans="15:15">
      <c r="O794" s="20"/>
    </row>
    <row r="795" spans="15:15">
      <c r="O795" s="20"/>
    </row>
    <row r="796" spans="15:15">
      <c r="O796" s="20"/>
    </row>
    <row r="797" spans="15:15">
      <c r="O797" s="20"/>
    </row>
    <row r="798" spans="15:15">
      <c r="O798" s="20"/>
    </row>
    <row r="799" spans="15:15">
      <c r="O799" s="20"/>
    </row>
    <row r="800" spans="15:15">
      <c r="O800" s="20"/>
    </row>
    <row r="801" spans="15:15">
      <c r="O801" s="20"/>
    </row>
    <row r="802" spans="15:15">
      <c r="O802" s="20"/>
    </row>
    <row r="803" spans="15:15">
      <c r="O803" s="20"/>
    </row>
    <row r="804" spans="15:15">
      <c r="O804" s="20"/>
    </row>
    <row r="805" spans="15:15">
      <c r="O805" s="20"/>
    </row>
    <row r="806" spans="15:15">
      <c r="O806" s="20"/>
    </row>
    <row r="807" spans="15:15">
      <c r="O807" s="20"/>
    </row>
    <row r="808" spans="15:15">
      <c r="O808" s="20"/>
    </row>
    <row r="809" spans="15:15">
      <c r="O809" s="20"/>
    </row>
    <row r="810" spans="15:15">
      <c r="O810" s="20"/>
    </row>
    <row r="811" spans="15:15">
      <c r="O811" s="20"/>
    </row>
    <row r="812" spans="15:15">
      <c r="O812" s="20"/>
    </row>
    <row r="813" spans="15:15">
      <c r="O813" s="20"/>
    </row>
    <row r="814" spans="15:15">
      <c r="O814" s="20"/>
    </row>
    <row r="815" spans="15:15">
      <c r="O815" s="20"/>
    </row>
    <row r="816" spans="15:15">
      <c r="O816" s="20"/>
    </row>
    <row r="817" spans="15:15">
      <c r="O817" s="20"/>
    </row>
    <row r="818" spans="15:15">
      <c r="O818" s="20"/>
    </row>
    <row r="819" spans="15:15">
      <c r="O819" s="20"/>
    </row>
    <row r="820" spans="15:15">
      <c r="O820" s="20"/>
    </row>
    <row r="821" spans="15:15">
      <c r="O821" s="20"/>
    </row>
    <row r="822" spans="15:15">
      <c r="O822" s="20"/>
    </row>
    <row r="823" spans="15:15">
      <c r="O823" s="20"/>
    </row>
    <row r="824" spans="15:15">
      <c r="O824" s="20"/>
    </row>
    <row r="825" spans="15:15">
      <c r="O825" s="20"/>
    </row>
    <row r="826" spans="15:15">
      <c r="O826" s="20"/>
    </row>
    <row r="827" spans="15:15">
      <c r="O827" s="20"/>
    </row>
    <row r="828" spans="15:15">
      <c r="O828" s="20"/>
    </row>
    <row r="829" spans="15:15">
      <c r="O829" s="20"/>
    </row>
    <row r="830" spans="15:15">
      <c r="O830" s="20"/>
    </row>
    <row r="831" spans="15:15">
      <c r="O831" s="20"/>
    </row>
    <row r="832" spans="15:15">
      <c r="O832" s="20"/>
    </row>
    <row r="833" spans="15:15">
      <c r="O833" s="20"/>
    </row>
    <row r="834" spans="15:15">
      <c r="O834" s="20"/>
    </row>
    <row r="835" spans="15:15">
      <c r="O835" s="20"/>
    </row>
    <row r="836" spans="15:15">
      <c r="O836" s="20"/>
    </row>
    <row r="837" spans="15:15">
      <c r="O837" s="20"/>
    </row>
    <row r="838" spans="15:15">
      <c r="O838" s="20"/>
    </row>
    <row r="839" spans="15:15">
      <c r="O839" s="20"/>
    </row>
    <row r="840" spans="15:15">
      <c r="O840" s="20"/>
    </row>
    <row r="841" spans="15:15">
      <c r="O841" s="20"/>
    </row>
    <row r="842" spans="15:15">
      <c r="O842" s="20"/>
    </row>
    <row r="843" spans="15:15">
      <c r="O843" s="20"/>
    </row>
    <row r="844" spans="15:15">
      <c r="O844" s="20"/>
    </row>
    <row r="845" spans="15:15">
      <c r="O845" s="20"/>
    </row>
    <row r="846" spans="15:15">
      <c r="O846" s="20"/>
    </row>
    <row r="847" spans="15:15">
      <c r="O847" s="20"/>
    </row>
    <row r="848" spans="15:15">
      <c r="O848" s="20"/>
    </row>
    <row r="849" spans="15:15">
      <c r="O849" s="20"/>
    </row>
    <row r="850" spans="15:15">
      <c r="O850" s="20"/>
    </row>
    <row r="851" spans="15:15">
      <c r="O851" s="20"/>
    </row>
    <row r="852" spans="15:15">
      <c r="O852" s="20"/>
    </row>
    <row r="853" spans="15:15">
      <c r="O853" s="20"/>
    </row>
    <row r="854" spans="15:15">
      <c r="O854" s="20"/>
    </row>
    <row r="855" spans="15:15">
      <c r="O855" s="20"/>
    </row>
    <row r="856" spans="15:15">
      <c r="O856" s="20"/>
    </row>
    <row r="857" spans="15:15">
      <c r="O857" s="20"/>
    </row>
    <row r="858" spans="15:15">
      <c r="O858" s="20"/>
    </row>
    <row r="859" spans="15:15">
      <c r="O859" s="20"/>
    </row>
    <row r="860" spans="15:15">
      <c r="O860" s="20"/>
    </row>
    <row r="861" spans="15:15">
      <c r="O861" s="20"/>
    </row>
    <row r="862" spans="15:15">
      <c r="O862" s="20"/>
    </row>
    <row r="863" spans="15:15">
      <c r="O863" s="20"/>
    </row>
    <row r="864" spans="15:15">
      <c r="O864" s="20"/>
    </row>
    <row r="865" spans="15:15">
      <c r="O865" s="20"/>
    </row>
    <row r="866" spans="15:15">
      <c r="O866" s="20"/>
    </row>
    <row r="867" spans="15:15">
      <c r="O867" s="20"/>
    </row>
    <row r="868" spans="15:15">
      <c r="O868" s="20"/>
    </row>
    <row r="869" spans="15:15">
      <c r="O869" s="20"/>
    </row>
    <row r="870" spans="15:15">
      <c r="O870" s="20"/>
    </row>
    <row r="871" spans="15:15">
      <c r="O871" s="20"/>
    </row>
    <row r="872" spans="15:15">
      <c r="O872" s="20"/>
    </row>
    <row r="873" spans="15:15">
      <c r="O873" s="20"/>
    </row>
    <row r="874" spans="15:15">
      <c r="O874" s="20"/>
    </row>
    <row r="875" spans="15:15">
      <c r="O875" s="20"/>
    </row>
    <row r="876" spans="15:15">
      <c r="O876" s="20"/>
    </row>
    <row r="877" spans="15:15">
      <c r="O877" s="20"/>
    </row>
    <row r="878" spans="15:15">
      <c r="O878" s="20"/>
    </row>
    <row r="879" spans="15:15">
      <c r="O879" s="20"/>
    </row>
    <row r="880" spans="15:15">
      <c r="O880" s="20"/>
    </row>
    <row r="881" spans="15:15">
      <c r="O881" s="20"/>
    </row>
    <row r="882" spans="15:15">
      <c r="O882" s="20"/>
    </row>
    <row r="883" spans="15:15">
      <c r="O883" s="20"/>
    </row>
    <row r="884" spans="15:15">
      <c r="O884" s="20"/>
    </row>
    <row r="885" spans="15:15">
      <c r="O885" s="20"/>
    </row>
    <row r="886" spans="15:15">
      <c r="O886" s="20"/>
    </row>
    <row r="887" spans="15:15">
      <c r="O887" s="20"/>
    </row>
    <row r="888" spans="15:15">
      <c r="O888" s="20"/>
    </row>
    <row r="889" spans="15:15">
      <c r="O889" s="20"/>
    </row>
    <row r="890" spans="15:15">
      <c r="O890" s="20"/>
    </row>
    <row r="891" spans="15:15">
      <c r="O891" s="20"/>
    </row>
    <row r="892" spans="15:15">
      <c r="O892" s="20"/>
    </row>
    <row r="893" spans="15:15">
      <c r="O893" s="20"/>
    </row>
    <row r="894" spans="15:15">
      <c r="O894" s="20"/>
    </row>
    <row r="895" spans="15:15">
      <c r="O895" s="20"/>
    </row>
    <row r="896" spans="15:15">
      <c r="O896" s="20"/>
    </row>
    <row r="897" spans="15:15">
      <c r="O897" s="20"/>
    </row>
    <row r="898" spans="15:15">
      <c r="O898" s="20"/>
    </row>
    <row r="899" spans="15:15">
      <c r="O899" s="20"/>
    </row>
    <row r="900" spans="15:15">
      <c r="O900" s="20"/>
    </row>
    <row r="901" spans="15:15">
      <c r="O901" s="20"/>
    </row>
    <row r="902" spans="15:15">
      <c r="O902" s="20"/>
    </row>
    <row r="903" spans="15:15">
      <c r="O903" s="20"/>
    </row>
    <row r="904" spans="15:15">
      <c r="O904" s="20"/>
    </row>
    <row r="905" spans="15:15">
      <c r="O905" s="20"/>
    </row>
    <row r="906" spans="15:15">
      <c r="O906" s="20"/>
    </row>
    <row r="907" spans="15:15">
      <c r="O907" s="20"/>
    </row>
    <row r="908" spans="15:15">
      <c r="O908" s="20"/>
    </row>
    <row r="909" spans="15:15">
      <c r="O909" s="20"/>
    </row>
    <row r="910" spans="15:15">
      <c r="O910" s="20"/>
    </row>
    <row r="911" spans="15:15">
      <c r="O911" s="20"/>
    </row>
    <row r="912" spans="15:15">
      <c r="O912" s="20"/>
    </row>
    <row r="913" spans="15:15">
      <c r="O913" s="20"/>
    </row>
    <row r="914" spans="15:15">
      <c r="O914" s="20"/>
    </row>
    <row r="915" spans="15:15">
      <c r="O915" s="20"/>
    </row>
    <row r="916" spans="15:15">
      <c r="O916" s="20"/>
    </row>
    <row r="917" spans="15:15">
      <c r="O917" s="20"/>
    </row>
    <row r="918" spans="15:15">
      <c r="O918" s="20"/>
    </row>
    <row r="919" spans="15:15">
      <c r="O919" s="20"/>
    </row>
    <row r="920" spans="15:15">
      <c r="O920" s="20"/>
    </row>
    <row r="921" spans="15:15">
      <c r="O921" s="20"/>
    </row>
    <row r="922" spans="15:15">
      <c r="O922" s="20"/>
    </row>
    <row r="923" spans="15:15">
      <c r="O923" s="20"/>
    </row>
    <row r="924" spans="15:15">
      <c r="O924" s="20"/>
    </row>
    <row r="925" spans="15:15">
      <c r="O925" s="20"/>
    </row>
    <row r="926" spans="15:15">
      <c r="O926" s="20"/>
    </row>
    <row r="927" spans="15:15">
      <c r="O927" s="20"/>
    </row>
    <row r="928" spans="15:15">
      <c r="O928" s="20"/>
    </row>
    <row r="929" spans="15:15">
      <c r="O929" s="20"/>
    </row>
    <row r="930" spans="15:15">
      <c r="O930" s="20"/>
    </row>
    <row r="931" spans="15:15">
      <c r="O931" s="20"/>
    </row>
    <row r="932" spans="15:15">
      <c r="O932" s="20"/>
    </row>
    <row r="933" spans="15:15">
      <c r="O933" s="20"/>
    </row>
    <row r="934" spans="15:15">
      <c r="O934" s="20"/>
    </row>
    <row r="935" spans="15:15">
      <c r="O935" s="20"/>
    </row>
    <row r="936" spans="15:15">
      <c r="O936" s="20"/>
    </row>
    <row r="937" spans="15:15">
      <c r="O937" s="20"/>
    </row>
    <row r="938" spans="15:15">
      <c r="O938" s="20"/>
    </row>
    <row r="939" spans="15:15">
      <c r="O939" s="20"/>
    </row>
    <row r="940" spans="15:15">
      <c r="O940" s="20"/>
    </row>
    <row r="941" spans="15:15">
      <c r="O941" s="20"/>
    </row>
    <row r="942" spans="15:15">
      <c r="O942" s="20"/>
    </row>
    <row r="943" spans="15:15">
      <c r="O943" s="20"/>
    </row>
    <row r="944" spans="15:15">
      <c r="O944" s="20"/>
    </row>
    <row r="945" spans="15:15">
      <c r="O945" s="20"/>
    </row>
    <row r="946" spans="15:15">
      <c r="O946" s="20"/>
    </row>
    <row r="947" spans="15:15">
      <c r="O947" s="20"/>
    </row>
    <row r="948" spans="15:15">
      <c r="O948" s="20"/>
    </row>
    <row r="949" spans="15:15">
      <c r="O949" s="20"/>
    </row>
    <row r="950" spans="15:15">
      <c r="O950" s="20"/>
    </row>
    <row r="951" spans="15:15">
      <c r="O951" s="20"/>
    </row>
    <row r="952" spans="15:15">
      <c r="O952" s="20"/>
    </row>
    <row r="953" spans="15:15">
      <c r="O953" s="20"/>
    </row>
    <row r="954" spans="15:15">
      <c r="O954" s="20"/>
    </row>
    <row r="955" spans="15:15">
      <c r="O955" s="20"/>
    </row>
    <row r="956" spans="15:15">
      <c r="O956" s="20"/>
    </row>
    <row r="957" spans="15:15">
      <c r="O957" s="20"/>
    </row>
    <row r="958" spans="15:15">
      <c r="O958" s="20"/>
    </row>
    <row r="959" spans="15:15">
      <c r="O959" s="20"/>
    </row>
    <row r="960" spans="15:15">
      <c r="O960" s="20"/>
    </row>
    <row r="961" spans="15:15">
      <c r="O961" s="20"/>
    </row>
    <row r="962" spans="15:15">
      <c r="O962" s="20"/>
    </row>
    <row r="963" spans="15:15">
      <c r="O963" s="20"/>
    </row>
    <row r="964" spans="15:15">
      <c r="O964" s="20"/>
    </row>
    <row r="965" spans="15:15">
      <c r="O965" s="20"/>
    </row>
    <row r="966" spans="15:15">
      <c r="O966" s="20"/>
    </row>
    <row r="967" spans="15:15">
      <c r="O967" s="20"/>
    </row>
    <row r="968" spans="15:15">
      <c r="O968" s="20"/>
    </row>
    <row r="969" spans="15:15">
      <c r="O969" s="20"/>
    </row>
    <row r="970" spans="15:15">
      <c r="O970" s="20"/>
    </row>
    <row r="971" spans="15:15">
      <c r="O971" s="20"/>
    </row>
    <row r="972" spans="15:15">
      <c r="O972" s="20"/>
    </row>
    <row r="973" spans="15:15">
      <c r="O973" s="20"/>
    </row>
    <row r="974" spans="15:15">
      <c r="O974" s="20"/>
    </row>
    <row r="975" spans="15:15">
      <c r="O975" s="20"/>
    </row>
    <row r="976" spans="15:15">
      <c r="O976" s="20"/>
    </row>
    <row r="977" spans="15:15">
      <c r="O977" s="20"/>
    </row>
    <row r="978" spans="15:15">
      <c r="O978" s="20"/>
    </row>
    <row r="979" spans="15:15">
      <c r="O979" s="20"/>
    </row>
    <row r="980" spans="15:15">
      <c r="O980" s="20"/>
    </row>
    <row r="981" spans="15:15">
      <c r="O981" s="20"/>
    </row>
    <row r="982" spans="15:15">
      <c r="O982" s="20"/>
    </row>
    <row r="983" spans="15:15">
      <c r="O983" s="20"/>
    </row>
    <row r="984" spans="15:15">
      <c r="O984" s="20"/>
    </row>
    <row r="985" spans="15:15">
      <c r="O985" s="20"/>
    </row>
    <row r="986" spans="15:15">
      <c r="O986" s="20"/>
    </row>
    <row r="987" spans="15:15">
      <c r="O987" s="20"/>
    </row>
    <row r="988" spans="15:15">
      <c r="O988" s="20"/>
    </row>
    <row r="989" spans="15:15">
      <c r="O989" s="20"/>
    </row>
    <row r="990" spans="15:15">
      <c r="O990" s="20"/>
    </row>
    <row r="991" spans="15:15">
      <c r="O991" s="20"/>
    </row>
    <row r="992" spans="15:15">
      <c r="O992" s="20"/>
    </row>
    <row r="993" spans="15:15">
      <c r="O993" s="20"/>
    </row>
    <row r="994" spans="15:15">
      <c r="O994" s="20"/>
    </row>
    <row r="995" spans="15:15">
      <c r="O995" s="20"/>
    </row>
    <row r="996" spans="15:15">
      <c r="O996" s="20"/>
    </row>
    <row r="997" spans="15:15">
      <c r="O997" s="20"/>
    </row>
    <row r="998" spans="15:15">
      <c r="O998" s="20"/>
    </row>
    <row r="999" spans="15:15">
      <c r="O999" s="20"/>
    </row>
    <row r="1000" spans="15:15">
      <c r="O1000" s="20"/>
    </row>
    <row r="1001" spans="15:15">
      <c r="O1001" s="20"/>
    </row>
  </sheetData>
  <mergeCells count="29">
    <mergeCell ref="B21:E21"/>
    <mergeCell ref="A22:E22"/>
    <mergeCell ref="A23:E23"/>
    <mergeCell ref="A24:E24"/>
    <mergeCell ref="B17:C17"/>
    <mergeCell ref="D17:E17"/>
    <mergeCell ref="B18:C18"/>
    <mergeCell ref="D18:E18"/>
    <mergeCell ref="B19:E19"/>
    <mergeCell ref="B20:E20"/>
    <mergeCell ref="B14:C14"/>
    <mergeCell ref="D14:E14"/>
    <mergeCell ref="B15:C15"/>
    <mergeCell ref="D15:E15"/>
    <mergeCell ref="B16:C16"/>
    <mergeCell ref="D16:E16"/>
    <mergeCell ref="C9:E9"/>
    <mergeCell ref="B10:E10"/>
    <mergeCell ref="B11:E11"/>
    <mergeCell ref="B12:C12"/>
    <mergeCell ref="D12:D13"/>
    <mergeCell ref="B13:C13"/>
    <mergeCell ref="C6:C8"/>
    <mergeCell ref="D6:E6"/>
    <mergeCell ref="A1:A2"/>
    <mergeCell ref="B1:E2"/>
    <mergeCell ref="K1:K2"/>
    <mergeCell ref="C3:C5"/>
    <mergeCell ref="D3:E3"/>
  </mergeCells>
  <phoneticPr fontId="23" type="noConversion"/>
  <conditionalFormatting sqref="F27:J27">
    <cfRule type="notContainsBlanks" dxfId="0" priority="1">
      <formula>LEN(TRIM(F27))&gt;0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(2017.12.29)간접비계상기준</vt:lpstr>
      <vt:lpstr>간접비계산기-서울대</vt:lpstr>
      <vt:lpstr>예산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주윤정</cp:lastModifiedBy>
  <cp:revision/>
  <dcterms:created xsi:type="dcterms:W3CDTF">2023-03-14T10:34:54Z</dcterms:created>
  <dcterms:modified xsi:type="dcterms:W3CDTF">2024-05-08T03:42:30Z</dcterms:modified>
  <cp:category/>
  <cp:contentStatus/>
</cp:coreProperties>
</file>