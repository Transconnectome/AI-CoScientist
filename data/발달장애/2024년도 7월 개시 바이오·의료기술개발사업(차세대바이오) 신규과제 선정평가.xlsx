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RF\Desktop\나_업무자료\006_ 2024.1~_국책사업평가1팀\1. 선정평가 관련\13. 차세대바이오(디지털바이오기반R&amp;D혁신, 디지털바이오기반연구혁신을위한R&amp;D기반조성)\"/>
    </mc:Choice>
  </mc:AlternateContent>
  <xr:revisionPtr revIDLastSave="0" documentId="13_ncr:1_{E3029E2C-E86B-4463-8F4A-D3822EE76CE3}" xr6:coauthVersionLast="36" xr6:coauthVersionMax="36" xr10:uidLastSave="{00000000-0000-0000-0000-000000000000}"/>
  <workbookProtection workbookAlgorithmName="SHA-512" workbookHashValue="MEqmCYERr9ynglU9HtAv01ry8C/8o71kQoOoLecZkJfdIau2bYJvWbdEop02cJlULnxfef7st5uLBVHdgq3c/w==" workbookSaltValue="qalpghc0U/+MY28ZHEpMHQ==" workbookSpinCount="100000" lockStructure="1"/>
  <bookViews>
    <workbookView xWindow="0" yWindow="0" windowWidth="23850" windowHeight="9765" xr2:uid="{00000000-000D-0000-FFFF-FFFF00000000}"/>
  </bookViews>
  <sheets>
    <sheet name="발표시간안내" sheetId="1" r:id="rId1"/>
    <sheet name="DB" sheetId="2" state="hidden" r:id="rId2"/>
  </sheets>
  <definedNames>
    <definedName name="_xlnm.Print_Area" localSheetId="0">발표시간안내!$A$1:$H$9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D6" i="1"/>
  <c r="D5" i="1"/>
</calcChain>
</file>

<file path=xl/sharedStrings.xml><?xml version="1.0" encoding="utf-8"?>
<sst xmlns="http://schemas.openxmlformats.org/spreadsheetml/2006/main" count="92" uniqueCount="52">
  <si>
    <t>과제번호</t>
    <phoneticPr fontId="1" type="noConversion"/>
  </si>
  <si>
    <t>발표시간</t>
    <phoneticPr fontId="1" type="noConversion"/>
  </si>
  <si>
    <t>과제명</t>
    <phoneticPr fontId="1" type="noConversion"/>
  </si>
  <si>
    <t>← IRIS에서 확인한 과제번호 입력</t>
    <phoneticPr fontId="1" type="noConversion"/>
  </si>
  <si>
    <t>RS-2024-</t>
    <phoneticPr fontId="1" type="noConversion"/>
  </si>
  <si>
    <t>패널</t>
    <phoneticPr fontId="1" type="noConversion"/>
  </si>
  <si>
    <t>발표날짜</t>
    <phoneticPr fontId="1" type="noConversion"/>
  </si>
  <si>
    <t>발표날짜</t>
    <phoneticPr fontId="1" type="noConversion"/>
  </si>
  <si>
    <t>&lt;2024년도 7월 개시 바이오·의료기술개발사업(차세대바이오) 선정평가 개별 발표시간 안내&gt;</t>
    <phoneticPr fontId="1" type="noConversion"/>
  </si>
  <si>
    <t>34. 뇌첨단_인력양성(수도권)</t>
  </si>
  <si>
    <t>AI 기반 난치성 질환 극복 디지털 바이오 융합 인재 양성 사업</t>
  </si>
  <si>
    <t>홍릉 글로벌 메디클러스터 연계 디지털바이오 융합 전문인력 양성 사업단</t>
  </si>
  <si>
    <t>현장 실무형 디지털바이오 전문인력 양성을 위한 산학연병 연계 교육과정 구축</t>
  </si>
  <si>
    <t>AI + X 현장 실무형 디지털바이오 글로벌 융합인재 양성</t>
  </si>
  <si>
    <t>현장 실무형 디지털바이오 전문인력 양성</t>
  </si>
  <si>
    <t>7월2일(화)</t>
    <phoneticPr fontId="1" type="noConversion"/>
  </si>
  <si>
    <t>11:00~11:30</t>
    <phoneticPr fontId="1" type="noConversion"/>
  </si>
  <si>
    <t>11:40~12:10</t>
    <phoneticPr fontId="1" type="noConversion"/>
  </si>
  <si>
    <t>13:10~13:40</t>
    <phoneticPr fontId="1" type="noConversion"/>
  </si>
  <si>
    <t>13:50~14:20</t>
    <phoneticPr fontId="1" type="noConversion"/>
  </si>
  <si>
    <t>14:30~15:00</t>
    <phoneticPr fontId="1" type="noConversion"/>
  </si>
  <si>
    <t>38. 뇌첨단_인력양성(비수도권)</t>
  </si>
  <si>
    <t>전신염증매개 알츠하이머병 예측 및 메커니즘 분석 기반 의생명+AI 융합 인재 양성</t>
  </si>
  <si>
    <t>지역맞춤형 항노화 디지털바이오헬스 연구 인력양성</t>
  </si>
  <si>
    <t>노인성 질환에 대한 디지털바이오 융합 기술을 갖춘 미래혁신인재 양성</t>
  </si>
  <si>
    <t>35. 뇌첨단_진단기술1</t>
  </si>
  <si>
    <t>바이오 빅데이터 기반 발달장애 AI 진단 플랫폼 개발</t>
  </si>
  <si>
    <t>소아 발달장애 멀티모달 뇌영상과 유전 대사체 및 행동표현형의 대규모 AI 파운데이션 모델 적용과 임상경과 바이오마커 발굴 및 검증</t>
  </si>
  <si>
    <t>빅데이터 기반 신경발달장애 진단 AI 모델 개발 및 신규 바이오마커 발굴</t>
  </si>
  <si>
    <t>사전학습 및 데이터 퓨전 기술을 활용한 멀티모달 바이오 빅데이터 기반 자폐스펙트럼장애 및 주의력결핍과잉행동장애의 병인규명 및 예측· 진단 AI모델 개발</t>
  </si>
  <si>
    <t>ASD/ADHD 신경줄기세포 및 디지털 바이오 빅데이터 기반 발달장애 예측 진단 AI 플랫폼 개발 및 바이오 마커 발굴</t>
  </si>
  <si>
    <t>11:00~11:50</t>
    <phoneticPr fontId="1" type="noConversion"/>
  </si>
  <si>
    <t>13:00~13:50</t>
    <phoneticPr fontId="1" type="noConversion"/>
  </si>
  <si>
    <t>14:00~14:50</t>
    <phoneticPr fontId="1" type="noConversion"/>
  </si>
  <si>
    <t>15:10~16:00</t>
    <phoneticPr fontId="1" type="noConversion"/>
  </si>
  <si>
    <t>16:10~17:00</t>
    <phoneticPr fontId="1" type="noConversion"/>
  </si>
  <si>
    <t>00439899</t>
  </si>
  <si>
    <t>00440460</t>
  </si>
  <si>
    <t>00440881</t>
  </si>
  <si>
    <t>00441029</t>
  </si>
  <si>
    <t>00441452</t>
  </si>
  <si>
    <t>00439078</t>
  </si>
  <si>
    <t>00440787</t>
  </si>
  <si>
    <t>00440802</t>
  </si>
  <si>
    <t>00437586</t>
  </si>
  <si>
    <t>00439363</t>
  </si>
  <si>
    <t>00439474</t>
  </si>
  <si>
    <t>00440729</t>
  </si>
  <si>
    <t>00440928</t>
  </si>
  <si>
    <t>대기장소</t>
    <phoneticPr fontId="1" type="noConversion"/>
  </si>
  <si>
    <t>제2연수관 211호</t>
    <phoneticPr fontId="1" type="noConversion"/>
  </si>
  <si>
    <t>※ 발표시간 15분전 도착 요망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</si>
</sst>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0" fillId="3" borderId="6" xfId="0" quotePrefix="1" applyNumberFormat="1" applyFill="1" applyBorder="1" applyAlignment="1" applyProtection="1">
      <alignment horizontal="center" vertical="center"/>
      <protection locked="0"/>
    </xf>
    <xf numFmtId="0" fontId="3" fillId="0" borderId="1" xfId="0" applyNumberFormat="1" applyFont="1" applyFill="1" applyBorder="1" applyAlignment="1">
      <alignment horizontal="center" vertical="center" shrinkToFit="1"/>
    </xf>
    <xf numFmtId="0" fontId="0" fillId="0" borderId="8" xfId="0" applyFill="1" applyBorder="1" applyAlignment="1">
      <alignment horizontal="center" vertical="center"/>
    </xf>
    <xf numFmtId="0" fontId="0" fillId="0" borderId="10" xfId="0" applyFill="1" applyBorder="1">
      <alignment vertical="center"/>
    </xf>
    <xf numFmtId="0" fontId="6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/>
    </xf>
    <xf numFmtId="0" fontId="0" fillId="0" borderId="7" xfId="0" applyFill="1" applyBorder="1" applyAlignment="1" applyProtection="1">
      <alignment horizontal="center" vertical="center"/>
      <protection hidden="1"/>
    </xf>
    <xf numFmtId="0" fontId="0" fillId="0" borderId="11" xfId="0" applyFill="1" applyBorder="1" applyAlignment="1" applyProtection="1">
      <alignment horizontal="center" vertical="center"/>
      <protection hidden="1"/>
    </xf>
    <xf numFmtId="0" fontId="0" fillId="0" borderId="9" xfId="0" applyFill="1" applyBorder="1" applyAlignment="1" applyProtection="1">
      <alignment horizontal="center" vertical="center"/>
      <protection hidden="1"/>
    </xf>
    <xf numFmtId="0" fontId="0" fillId="0" borderId="5" xfId="0" applyFill="1" applyBorder="1" applyAlignment="1" applyProtection="1">
      <alignment horizontal="center" vertical="center"/>
      <protection hidden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8"/>
  <sheetViews>
    <sheetView showGridLines="0" tabSelected="1" zoomScaleNormal="100" zoomScaleSheetLayoutView="115" workbookViewId="0"/>
  </sheetViews>
  <sheetFormatPr defaultColWidth="9" defaultRowHeight="16.5" x14ac:dyDescent="0.3"/>
  <cols>
    <col min="1" max="1" width="4.625" style="4" customWidth="1"/>
    <col min="2" max="2" width="5.875" style="4" customWidth="1"/>
    <col min="3" max="3" width="15.375" style="4" customWidth="1"/>
    <col min="4" max="4" width="8.375" style="4" customWidth="1"/>
    <col min="5" max="5" width="16.375" style="4" customWidth="1"/>
    <col min="6" max="6" width="9" style="4"/>
    <col min="7" max="7" width="5.25" style="4" customWidth="1"/>
    <col min="8" max="16384" width="9" style="4"/>
  </cols>
  <sheetData>
    <row r="2" spans="2:6" ht="27" customHeight="1" x14ac:dyDescent="0.3">
      <c r="B2" s="3" t="s">
        <v>8</v>
      </c>
    </row>
    <row r="3" spans="2:6" ht="17.25" thickBot="1" x14ac:dyDescent="0.35"/>
    <row r="4" spans="2:6" ht="24" customHeight="1" thickTop="1" thickBot="1" x14ac:dyDescent="0.35">
      <c r="C4" s="5" t="s">
        <v>0</v>
      </c>
      <c r="D4" s="12" t="s">
        <v>4</v>
      </c>
      <c r="E4" s="9"/>
      <c r="F4" s="4" t="s">
        <v>3</v>
      </c>
    </row>
    <row r="5" spans="2:6" ht="24" customHeight="1" thickTop="1" x14ac:dyDescent="0.3">
      <c r="C5" s="11" t="s">
        <v>6</v>
      </c>
      <c r="D5" s="18" t="str">
        <f>IFERROR(VLOOKUP($E4,DB!$B$2:$F$14,3,FALSE),"없음")</f>
        <v>없음</v>
      </c>
      <c r="E5" s="19"/>
    </row>
    <row r="6" spans="2:6" ht="24" customHeight="1" x14ac:dyDescent="0.3">
      <c r="C6" s="6" t="s">
        <v>1</v>
      </c>
      <c r="D6" s="18" t="str">
        <f>IFERROR(VLOOKUP($E4,DB!$B$2:$F$14,4,FALSE),"없음")</f>
        <v>없음</v>
      </c>
      <c r="E6" s="19"/>
    </row>
    <row r="7" spans="2:6" ht="24" customHeight="1" thickBot="1" x14ac:dyDescent="0.35">
      <c r="C7" s="7" t="s">
        <v>49</v>
      </c>
      <c r="D7" s="16" t="str">
        <f>IFERROR(VLOOKUP($E4,DB!$B$2:$F$14,5,FALSE),"없음")</f>
        <v>없음</v>
      </c>
      <c r="E7" s="17"/>
    </row>
    <row r="8" spans="2:6" x14ac:dyDescent="0.3">
      <c r="C8" s="15" t="s">
        <v>51</v>
      </c>
    </row>
  </sheetData>
  <sheetProtection algorithmName="SHA-512" hashValue="Swm2t25G7WQzuGyuNFa6JZwWseqRoTKxYXUJQYDx/wEujrTZpkCg7D4wPOF3xCKc7G3SHLqNJVo2eofFdpt1Yg==" saltValue="ihP56yoSJpKU+jK+fB7f4w==" spinCount="100000" sheet="1" objects="1" scenarios="1"/>
  <mergeCells count="3">
    <mergeCell ref="D7:E7"/>
    <mergeCell ref="D6:E6"/>
    <mergeCell ref="D5:E5"/>
  </mergeCells>
  <phoneticPr fontId="1" type="noConversion"/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/>
  </sheetViews>
  <sheetFormatPr defaultRowHeight="16.5" x14ac:dyDescent="0.3"/>
  <cols>
    <col min="1" max="1" width="15.875" style="1" customWidth="1"/>
    <col min="2" max="2" width="13.75" style="1" customWidth="1"/>
    <col min="3" max="3" width="38.875" style="1" customWidth="1"/>
    <col min="4" max="4" width="9.375" style="1" bestFit="1" customWidth="1"/>
    <col min="5" max="5" width="14.625" style="1" customWidth="1"/>
    <col min="6" max="6" width="12.375" bestFit="1" customWidth="1"/>
  </cols>
  <sheetData>
    <row r="1" spans="1:6" x14ac:dyDescent="0.3">
      <c r="A1" s="2" t="s">
        <v>5</v>
      </c>
      <c r="B1" s="2" t="s">
        <v>0</v>
      </c>
      <c r="C1" s="2" t="s">
        <v>2</v>
      </c>
      <c r="D1" s="2" t="s">
        <v>7</v>
      </c>
      <c r="E1" s="2" t="s">
        <v>1</v>
      </c>
      <c r="F1" s="2" t="s">
        <v>49</v>
      </c>
    </row>
    <row r="2" spans="1:6" x14ac:dyDescent="0.3">
      <c r="A2" s="10" t="s">
        <v>9</v>
      </c>
      <c r="B2" s="13" t="s">
        <v>36</v>
      </c>
      <c r="C2" s="10" t="s">
        <v>10</v>
      </c>
      <c r="D2" s="14" t="s">
        <v>15</v>
      </c>
      <c r="E2" s="8" t="s">
        <v>16</v>
      </c>
      <c r="F2" s="8" t="s">
        <v>50</v>
      </c>
    </row>
    <row r="3" spans="1:6" x14ac:dyDescent="0.3">
      <c r="A3" s="10" t="s">
        <v>9</v>
      </c>
      <c r="B3" s="13" t="s">
        <v>37</v>
      </c>
      <c r="C3" s="10" t="s">
        <v>11</v>
      </c>
      <c r="D3" s="14" t="s">
        <v>15</v>
      </c>
      <c r="E3" s="8" t="s">
        <v>17</v>
      </c>
      <c r="F3" s="8" t="s">
        <v>50</v>
      </c>
    </row>
    <row r="4" spans="1:6" x14ac:dyDescent="0.3">
      <c r="A4" s="10" t="s">
        <v>9</v>
      </c>
      <c r="B4" s="13" t="s">
        <v>38</v>
      </c>
      <c r="C4" s="10" t="s">
        <v>12</v>
      </c>
      <c r="D4" s="14" t="s">
        <v>15</v>
      </c>
      <c r="E4" s="8" t="s">
        <v>18</v>
      </c>
      <c r="F4" s="8" t="s">
        <v>50</v>
      </c>
    </row>
    <row r="5" spans="1:6" x14ac:dyDescent="0.3">
      <c r="A5" s="10" t="s">
        <v>9</v>
      </c>
      <c r="B5" s="13" t="s">
        <v>39</v>
      </c>
      <c r="C5" s="10" t="s">
        <v>13</v>
      </c>
      <c r="D5" s="14" t="s">
        <v>15</v>
      </c>
      <c r="E5" s="8" t="s">
        <v>19</v>
      </c>
      <c r="F5" s="8" t="s">
        <v>50</v>
      </c>
    </row>
    <row r="6" spans="1:6" x14ac:dyDescent="0.3">
      <c r="A6" s="10" t="s">
        <v>9</v>
      </c>
      <c r="B6" s="13" t="s">
        <v>40</v>
      </c>
      <c r="C6" s="10" t="s">
        <v>14</v>
      </c>
      <c r="D6" s="14" t="s">
        <v>15</v>
      </c>
      <c r="E6" s="8" t="s">
        <v>20</v>
      </c>
      <c r="F6" s="8" t="s">
        <v>50</v>
      </c>
    </row>
    <row r="7" spans="1:6" ht="23.25" customHeight="1" x14ac:dyDescent="0.3">
      <c r="A7" s="10" t="s">
        <v>21</v>
      </c>
      <c r="B7" s="13" t="s">
        <v>41</v>
      </c>
      <c r="C7" s="10" t="s">
        <v>22</v>
      </c>
      <c r="D7" s="14" t="s">
        <v>15</v>
      </c>
      <c r="E7" s="8" t="s">
        <v>16</v>
      </c>
      <c r="F7" s="8" t="s">
        <v>50</v>
      </c>
    </row>
    <row r="8" spans="1:6" x14ac:dyDescent="0.3">
      <c r="A8" s="10" t="s">
        <v>21</v>
      </c>
      <c r="B8" s="13" t="s">
        <v>42</v>
      </c>
      <c r="C8" s="10" t="s">
        <v>23</v>
      </c>
      <c r="D8" s="14" t="s">
        <v>15</v>
      </c>
      <c r="E8" s="8" t="s">
        <v>17</v>
      </c>
      <c r="F8" s="8" t="s">
        <v>50</v>
      </c>
    </row>
    <row r="9" spans="1:6" x14ac:dyDescent="0.3">
      <c r="A9" s="10" t="s">
        <v>21</v>
      </c>
      <c r="B9" s="13" t="s">
        <v>43</v>
      </c>
      <c r="C9" s="10" t="s">
        <v>24</v>
      </c>
      <c r="D9" s="14" t="s">
        <v>15</v>
      </c>
      <c r="E9" s="8" t="s">
        <v>18</v>
      </c>
      <c r="F9" s="8" t="s">
        <v>50</v>
      </c>
    </row>
    <row r="10" spans="1:6" x14ac:dyDescent="0.3">
      <c r="A10" s="10" t="s">
        <v>25</v>
      </c>
      <c r="B10" s="13" t="s">
        <v>44</v>
      </c>
      <c r="C10" s="10" t="s">
        <v>26</v>
      </c>
      <c r="D10" s="14" t="s">
        <v>15</v>
      </c>
      <c r="E10" s="8" t="s">
        <v>31</v>
      </c>
      <c r="F10" s="8" t="s">
        <v>50</v>
      </c>
    </row>
    <row r="11" spans="1:6" x14ac:dyDescent="0.3">
      <c r="A11" s="10" t="s">
        <v>25</v>
      </c>
      <c r="B11" s="13" t="s">
        <v>45</v>
      </c>
      <c r="C11" s="10" t="s">
        <v>27</v>
      </c>
      <c r="D11" s="14" t="s">
        <v>15</v>
      </c>
      <c r="E11" s="8" t="s">
        <v>32</v>
      </c>
      <c r="F11" s="8" t="s">
        <v>50</v>
      </c>
    </row>
    <row r="12" spans="1:6" x14ac:dyDescent="0.3">
      <c r="A12" s="10" t="s">
        <v>25</v>
      </c>
      <c r="B12" s="13" t="s">
        <v>46</v>
      </c>
      <c r="C12" s="10" t="s">
        <v>28</v>
      </c>
      <c r="D12" s="14" t="s">
        <v>15</v>
      </c>
      <c r="E12" s="8" t="s">
        <v>33</v>
      </c>
      <c r="F12" s="8" t="s">
        <v>50</v>
      </c>
    </row>
    <row r="13" spans="1:6" x14ac:dyDescent="0.3">
      <c r="A13" s="10" t="s">
        <v>25</v>
      </c>
      <c r="B13" s="13" t="s">
        <v>47</v>
      </c>
      <c r="C13" s="10" t="s">
        <v>29</v>
      </c>
      <c r="D13" s="14" t="s">
        <v>15</v>
      </c>
      <c r="E13" s="8" t="s">
        <v>34</v>
      </c>
      <c r="F13" s="8" t="s">
        <v>50</v>
      </c>
    </row>
    <row r="14" spans="1:6" x14ac:dyDescent="0.3">
      <c r="A14" s="10" t="s">
        <v>25</v>
      </c>
      <c r="B14" s="13" t="s">
        <v>48</v>
      </c>
      <c r="C14" s="10" t="s">
        <v>30</v>
      </c>
      <c r="D14" s="14" t="s">
        <v>15</v>
      </c>
      <c r="E14" s="8" t="s">
        <v>35</v>
      </c>
      <c r="F14" s="8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발표시간안내</vt:lpstr>
      <vt:lpstr>DB</vt:lpstr>
      <vt:lpstr>발표시간안내!Print_Area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NRF</dc:creator>
  <cp:lastModifiedBy>NRF</cp:lastModifiedBy>
  <dcterms:created xsi:type="dcterms:W3CDTF">2023-04-26T06:34:57Z</dcterms:created>
  <dcterms:modified xsi:type="dcterms:W3CDTF">2024-06-14T05:49:20Z</dcterms:modified>
</cp:coreProperties>
</file>